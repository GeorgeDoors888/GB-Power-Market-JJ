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21-04-01\Statements\Draft Excel documents\"/>
    </mc:Choice>
  </mc:AlternateContent>
  <bookViews>
    <workbookView xWindow="-15" yWindow="-15" windowWidth="14520" windowHeight="13140" tabRatio="826"/>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Charge Calculator" sheetId="15" r:id="rId13"/>
  </sheets>
  <definedNames>
    <definedName name="_xlnm._FilterDatabase" localSheetId="2" hidden="1">'Annex 2 EHV charges'!$A$9:$O$156</definedName>
    <definedName name="_xlnm._FilterDatabase" localSheetId="6" hidden="1">'Annex 4 LDNO charges'!$A$11:$M$116</definedName>
    <definedName name="_xlnm._FilterDatabase" localSheetId="10" hidden="1">'Nodal prices'!$A$3:$D$446</definedName>
    <definedName name="_xlnm._FilterDatabase" localSheetId="11" hidden="1">'SSC unit rate lookup'!$A$28:$D$764</definedName>
    <definedName name="OLE_LINK1" localSheetId="5">'Annex 3 Preserved charges'!#REF!</definedName>
    <definedName name="_xlnm.Print_Area" localSheetId="1">'Annex 1 LV, HV and UMS charges'!$A$2:$K$30</definedName>
    <definedName name="_xlnm.Print_Area" localSheetId="2">'Annex 2 EHV charges'!$A$2:$O$105</definedName>
    <definedName name="_xlnm.Print_Area" localSheetId="3">'Annex 2a Import'!$A$2:$H$150</definedName>
    <definedName name="_xlnm.Print_Area" localSheetId="4">'Annex 2b Export'!$A$2:$H$140</definedName>
    <definedName name="_xlnm.Print_Area" localSheetId="5">'Annex 3 Preserved charges'!$A$2:$J$16</definedName>
    <definedName name="_xlnm.Print_Area" localSheetId="6">'Annex 4 LDNO charges'!$A$2:$J$116</definedName>
    <definedName name="_xlnm.Print_Area" localSheetId="7">'Annex 5 LLFs'!$A$2:$G$191</definedName>
    <definedName name="_xlnm.Print_Area" localSheetId="8">'Annex 6 New or Amended EHV'!$A$2:$R$29</definedName>
    <definedName name="_xlnm.Print_Area" localSheetId="9">'Annex 7 Pass-Through Costs'!$A$2:$F$67</definedName>
    <definedName name="_xlnm.Print_Area" localSheetId="10">'Nodal prices'!$A$2:$D$26</definedName>
    <definedName name="_xlnm.Print_Titles" localSheetId="1">'Annex 1 LV, HV and UMS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charges'!$A$2:$K$30</definedName>
    <definedName name="Z_5032A364_B81A_48DA_88DA_AB3B86B47EE9_.wvu.PrintArea" localSheetId="2" hidden="1">'Annex 2 EHV charges'!$A$2:$I$19</definedName>
    <definedName name="Z_5032A364_B81A_48DA_88DA_AB3B86B47EE9_.wvu.PrintArea" localSheetId="5" hidden="1">'Annex 3 Preserved charges'!$A$2:$J$16</definedName>
    <definedName name="Z_5032A364_B81A_48DA_88DA_AB3B86B47EE9_.wvu.PrintArea" localSheetId="6" hidden="1">'Annex 4 LDNO charges'!$A$2:$I$9</definedName>
    <definedName name="Z_5032A364_B81A_48DA_88DA_AB3B86B47EE9_.wvu.PrintArea" localSheetId="7" hidden="1">'Annex 5 LLFs'!$A$3:$F$124</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charges'!$2:$11</definedName>
    <definedName name="Z_5032A364_B81A_48DA_88DA_AB3B86B47EE9_.wvu.PrintTitles" localSheetId="2" hidden="1">'Annex 2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B6" i="24" l="1"/>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A2" i="24" l="1"/>
  <c r="B5" i="24" l="1"/>
  <c r="C5" i="24" l="1"/>
  <c r="I9" i="15" l="1"/>
  <c r="H9" i="15"/>
  <c r="G9" i="15"/>
  <c r="F9" i="15"/>
  <c r="E9" i="15"/>
  <c r="D9" i="15"/>
  <c r="C9" i="15"/>
  <c r="E12" i="15" l="1"/>
  <c r="D12" i="15"/>
  <c r="C12" i="15"/>
  <c r="B13" i="1" l="1"/>
  <c r="I14" i="15" l="1"/>
  <c r="H14" i="15"/>
  <c r="B2" i="15" l="1"/>
  <c r="A2" i="7"/>
  <c r="A17"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A87" i="14" l="1" a="1"/>
  <c r="A87" i="14" s="1"/>
  <c r="C86" i="14"/>
  <c r="G86" i="14"/>
  <c r="B86" i="14"/>
  <c r="H86" i="14"/>
  <c r="D86" i="14"/>
  <c r="E86" i="14"/>
  <c r="F86" i="14"/>
  <c r="E88" i="13"/>
  <c r="C88" i="13"/>
  <c r="B88" i="13"/>
  <c r="H88" i="13"/>
  <c r="A89" i="13" a="1"/>
  <c r="A89" i="13" s="1"/>
  <c r="D89" i="13" s="1"/>
  <c r="D88" i="13"/>
  <c r="F88" i="13"/>
  <c r="A88" i="14" l="1" a="1"/>
  <c r="A88" i="14" s="1"/>
  <c r="D87" i="14"/>
  <c r="H87" i="14"/>
  <c r="F87" i="14"/>
  <c r="B87" i="14"/>
  <c r="G87" i="14"/>
  <c r="C87" i="14"/>
  <c r="E87" i="14"/>
  <c r="H89" i="13"/>
  <c r="F89" i="13"/>
  <c r="G89" i="13"/>
  <c r="C89" i="13"/>
  <c r="B89" i="13"/>
  <c r="E89" i="13"/>
  <c r="A90" i="13" a="1"/>
  <c r="A90" i="13" s="1"/>
  <c r="E90" i="13" s="1"/>
  <c r="A89" i="14" l="1" a="1"/>
  <c r="A89" i="14" s="1"/>
  <c r="E88" i="14"/>
  <c r="D88" i="14"/>
  <c r="F88" i="14"/>
  <c r="B88" i="14"/>
  <c r="C88" i="14"/>
  <c r="G88" i="14"/>
  <c r="H88" i="14"/>
  <c r="F90" i="13"/>
  <c r="C90" i="13"/>
  <c r="B90" i="13"/>
  <c r="G90" i="13"/>
  <c r="A91" i="13" a="1"/>
  <c r="A91" i="13" s="1"/>
  <c r="C91" i="13" s="1"/>
  <c r="D90" i="13"/>
  <c r="H90" i="13"/>
  <c r="A90" i="14" l="1" a="1"/>
  <c r="A90" i="14" s="1"/>
  <c r="B89" i="14"/>
  <c r="F89" i="14"/>
  <c r="C89" i="14"/>
  <c r="H89" i="14"/>
  <c r="D89" i="14"/>
  <c r="E89" i="14"/>
  <c r="G89" i="14"/>
  <c r="F91" i="13"/>
  <c r="H91" i="13"/>
  <c r="G91" i="13"/>
  <c r="D91" i="13"/>
  <c r="B91" i="13"/>
  <c r="E91" i="13"/>
  <c r="A92" i="13" a="1"/>
  <c r="A92" i="13" s="1"/>
  <c r="C92" i="13" s="1"/>
  <c r="A91" i="14" l="1" a="1"/>
  <c r="A91" i="14" s="1"/>
  <c r="C90" i="14"/>
  <c r="G90" i="14"/>
  <c r="F90" i="14"/>
  <c r="B90" i="14"/>
  <c r="H90" i="14"/>
  <c r="D90" i="14"/>
  <c r="E90" i="14"/>
  <c r="F92" i="13"/>
  <c r="G92" i="13"/>
  <c r="B92" i="13"/>
  <c r="D92" i="13"/>
  <c r="A93" i="13" a="1"/>
  <c r="A93" i="13" s="1"/>
  <c r="F93" i="13" s="1"/>
  <c r="E92" i="13"/>
  <c r="H92" i="13"/>
  <c r="A92" i="14" l="1" a="1"/>
  <c r="A92" i="14" s="1"/>
  <c r="D91" i="14"/>
  <c r="H91" i="14"/>
  <c r="E91" i="14"/>
  <c r="F91" i="14"/>
  <c r="B91" i="14"/>
  <c r="C91" i="14"/>
  <c r="G91" i="14"/>
  <c r="D93" i="13"/>
  <c r="C93" i="13"/>
  <c r="B93" i="13"/>
  <c r="G93" i="13"/>
  <c r="A94" i="13" a="1"/>
  <c r="A94" i="13" s="1"/>
  <c r="F94" i="13" s="1"/>
  <c r="E93" i="13"/>
  <c r="H93" i="13"/>
  <c r="A93" i="14" l="1" a="1"/>
  <c r="A93" i="14" s="1"/>
  <c r="E92" i="14"/>
  <c r="C92" i="14"/>
  <c r="H92" i="14"/>
  <c r="D92" i="14"/>
  <c r="F92" i="14"/>
  <c r="G92" i="14"/>
  <c r="B92" i="14"/>
  <c r="D94" i="13"/>
  <c r="E94" i="13"/>
  <c r="G94" i="13"/>
  <c r="C94" i="13"/>
  <c r="B94" i="13"/>
  <c r="H94" i="13"/>
  <c r="A95" i="13" a="1"/>
  <c r="A95" i="13" s="1"/>
  <c r="D95" i="13" s="1"/>
  <c r="A94" i="14" l="1" a="1"/>
  <c r="A94" i="14" s="1"/>
  <c r="B93" i="14"/>
  <c r="F93" i="14"/>
  <c r="G93" i="14"/>
  <c r="C93" i="14"/>
  <c r="H93" i="14"/>
  <c r="D93" i="14"/>
  <c r="E93" i="14"/>
  <c r="E95" i="13"/>
  <c r="C95" i="13"/>
  <c r="B95" i="13"/>
  <c r="F95" i="13"/>
  <c r="A96" i="13" a="1"/>
  <c r="A96" i="13" s="1"/>
  <c r="F96" i="13" s="1"/>
  <c r="H95" i="13"/>
  <c r="G95" i="13"/>
  <c r="A95" i="14" l="1" a="1"/>
  <c r="A95" i="14" s="1"/>
  <c r="C94" i="14"/>
  <c r="G94" i="14"/>
  <c r="E94" i="14"/>
  <c r="F94" i="14"/>
  <c r="B94" i="14"/>
  <c r="D94" i="14"/>
  <c r="H94" i="14"/>
  <c r="D96" i="13"/>
  <c r="G96" i="13"/>
  <c r="B96" i="13"/>
  <c r="C96" i="13"/>
  <c r="A97" i="13" a="1"/>
  <c r="A97" i="13" s="1"/>
  <c r="C97" i="13" s="1"/>
  <c r="E96" i="13"/>
  <c r="H96" i="13"/>
  <c r="A96" i="14" l="1" a="1"/>
  <c r="A96" i="14" s="1"/>
  <c r="D95" i="14"/>
  <c r="H95" i="14"/>
  <c r="E95" i="14"/>
  <c r="C95" i="14"/>
  <c r="F95" i="14"/>
  <c r="G95" i="14"/>
  <c r="B95" i="14"/>
  <c r="D97" i="13"/>
  <c r="G97" i="13"/>
  <c r="E97" i="13"/>
  <c r="F97" i="13"/>
  <c r="B97" i="13"/>
  <c r="H97" i="13"/>
  <c r="A98" i="13" a="1"/>
  <c r="A98" i="13" s="1"/>
  <c r="E98" i="13" s="1"/>
  <c r="A97" i="14" l="1" a="1"/>
  <c r="A97" i="14" s="1"/>
  <c r="E96" i="14"/>
  <c r="C96" i="14"/>
  <c r="H96" i="14"/>
  <c r="D96" i="14"/>
  <c r="F96" i="14"/>
  <c r="G96" i="14"/>
  <c r="B96" i="14"/>
  <c r="D98" i="13"/>
  <c r="C98" i="13"/>
  <c r="B98" i="13"/>
  <c r="H98" i="13"/>
  <c r="A99" i="13" a="1"/>
  <c r="A99" i="13" s="1"/>
  <c r="D99" i="13" s="1"/>
  <c r="G98" i="13"/>
  <c r="F98" i="13"/>
  <c r="A98" i="14" l="1" a="1"/>
  <c r="A98" i="14" s="1"/>
  <c r="B97" i="14"/>
  <c r="F97" i="14"/>
  <c r="G97" i="14"/>
  <c r="D97" i="14"/>
  <c r="E97" i="14"/>
  <c r="H97" i="14"/>
  <c r="C97" i="14"/>
  <c r="E99" i="13"/>
  <c r="C99" i="13"/>
  <c r="B99" i="13"/>
  <c r="G99" i="13"/>
  <c r="A100" i="13" a="1"/>
  <c r="A100" i="13" s="1"/>
  <c r="F100" i="13" s="1"/>
  <c r="H99" i="13"/>
  <c r="F99" i="13"/>
  <c r="A99" i="14" l="1" a="1"/>
  <c r="A99" i="14" s="1"/>
  <c r="C98" i="14"/>
  <c r="G98" i="14"/>
  <c r="E98" i="14"/>
  <c r="D98" i="14"/>
  <c r="F98" i="14"/>
  <c r="H98" i="14"/>
  <c r="B98" i="14"/>
  <c r="A101" i="13" a="1"/>
  <c r="A101" i="13" s="1"/>
  <c r="G101" i="13" s="1"/>
  <c r="H100" i="13"/>
  <c r="D100" i="13"/>
  <c r="G100" i="13"/>
  <c r="E100" i="13"/>
  <c r="C100" i="13"/>
  <c r="B100" i="13"/>
  <c r="A100" i="14" l="1" a="1"/>
  <c r="A100" i="14" s="1"/>
  <c r="D99" i="14"/>
  <c r="H99" i="14"/>
  <c r="C99" i="14"/>
  <c r="E99" i="14"/>
  <c r="F99" i="14"/>
  <c r="G99" i="14"/>
  <c r="B99" i="14"/>
  <c r="A102" i="13" a="1"/>
  <c r="A102" i="13" s="1"/>
  <c r="H102" i="13" s="1"/>
  <c r="H101" i="13"/>
  <c r="E101" i="13"/>
  <c r="C101" i="13"/>
  <c r="D101" i="13"/>
  <c r="F101" i="13"/>
  <c r="B101" i="13"/>
  <c r="A101" i="14" l="1" a="1"/>
  <c r="A101" i="14" s="1"/>
  <c r="E100" i="14"/>
  <c r="B100" i="14"/>
  <c r="G100" i="14"/>
  <c r="D100" i="14"/>
  <c r="F100" i="14"/>
  <c r="H100" i="14"/>
  <c r="C100" i="14"/>
  <c r="G102" i="13"/>
  <c r="E102" i="13"/>
  <c r="F102" i="13"/>
  <c r="C102" i="13"/>
  <c r="B102" i="13"/>
  <c r="D102" i="13"/>
  <c r="A103" i="13" a="1"/>
  <c r="A103" i="13" s="1"/>
  <c r="H103" i="13" s="1"/>
  <c r="A102" i="14" l="1" a="1"/>
  <c r="A102" i="14" s="1"/>
  <c r="B101" i="14"/>
  <c r="F101" i="14"/>
  <c r="E101" i="14"/>
  <c r="D101" i="14"/>
  <c r="G101" i="14"/>
  <c r="H101" i="14"/>
  <c r="C101" i="14"/>
  <c r="B103" i="13"/>
  <c r="F103" i="13"/>
  <c r="E103" i="13"/>
  <c r="D103" i="13"/>
  <c r="A104" i="13" a="1"/>
  <c r="A104" i="13" s="1"/>
  <c r="D104" i="13" s="1"/>
  <c r="C103" i="13"/>
  <c r="G103" i="13"/>
  <c r="A103" i="14" l="1" a="1"/>
  <c r="A103" i="14" s="1"/>
  <c r="C102" i="14"/>
  <c r="G102" i="14"/>
  <c r="D102" i="14"/>
  <c r="E102" i="14"/>
  <c r="F102" i="14"/>
  <c r="H102" i="14"/>
  <c r="B102" i="14"/>
  <c r="E104" i="13"/>
  <c r="G104" i="13"/>
  <c r="F104" i="13"/>
  <c r="C104" i="13"/>
  <c r="B104" i="13"/>
  <c r="H104" i="13"/>
  <c r="A105" i="13" a="1"/>
  <c r="A105" i="13" s="1"/>
  <c r="F105" i="13" s="1"/>
  <c r="A104" i="14" l="1" a="1"/>
  <c r="A104" i="14" s="1"/>
  <c r="D103" i="14"/>
  <c r="H103" i="14"/>
  <c r="B103" i="14"/>
  <c r="G103" i="14"/>
  <c r="E103" i="14"/>
  <c r="F103" i="14"/>
  <c r="C103" i="14"/>
  <c r="A106" i="13" a="1"/>
  <c r="A106" i="13" s="1"/>
  <c r="D106" i="13" s="1"/>
  <c r="D105" i="13"/>
  <c r="E105" i="13"/>
  <c r="C105" i="13"/>
  <c r="B105" i="13"/>
  <c r="H105" i="13"/>
  <c r="G105" i="13"/>
  <c r="A105" i="14" l="1" a="1"/>
  <c r="A105" i="14" s="1"/>
  <c r="E104" i="14"/>
  <c r="F104" i="14"/>
  <c r="D104" i="14"/>
  <c r="G104" i="14"/>
  <c r="B104" i="14"/>
  <c r="H104" i="14"/>
  <c r="C104" i="14"/>
  <c r="H106" i="13"/>
  <c r="E106" i="13"/>
  <c r="G106" i="13"/>
  <c r="C106" i="13"/>
  <c r="B106" i="13"/>
  <c r="F106" i="13"/>
  <c r="A107" i="13" a="1"/>
  <c r="A107" i="13" s="1"/>
  <c r="H107" i="13" s="1"/>
  <c r="A106" i="14" l="1" a="1"/>
  <c r="A106" i="14" s="1"/>
  <c r="B105" i="14"/>
  <c r="F105" i="14"/>
  <c r="D105" i="14"/>
  <c r="E105" i="14"/>
  <c r="G105" i="14"/>
  <c r="H105" i="14"/>
  <c r="C105" i="14"/>
  <c r="A108" i="13" a="1"/>
  <c r="A108" i="13" s="1"/>
  <c r="H108" i="13" s="1"/>
  <c r="E107" i="13"/>
  <c r="F107" i="13"/>
  <c r="D107" i="13"/>
  <c r="B107" i="13"/>
  <c r="G107" i="13"/>
  <c r="C107" i="13"/>
  <c r="A107" i="14" l="1" a="1"/>
  <c r="A107" i="14" s="1"/>
  <c r="C106" i="14"/>
  <c r="G106" i="14"/>
  <c r="B106" i="14"/>
  <c r="H106" i="14"/>
  <c r="E106" i="14"/>
  <c r="F106" i="14"/>
  <c r="D106" i="14"/>
  <c r="C108" i="13"/>
  <c r="E108" i="13"/>
  <c r="D108" i="13"/>
  <c r="G108" i="13"/>
  <c r="B108" i="13"/>
  <c r="F108" i="13"/>
  <c r="A109" i="13" a="1"/>
  <c r="A109" i="13" s="1"/>
  <c r="F109" i="13" s="1"/>
  <c r="A108" i="14" l="1" a="1"/>
  <c r="A108" i="14" s="1"/>
  <c r="D107" i="14"/>
  <c r="H107" i="14"/>
  <c r="F107" i="14"/>
  <c r="E107" i="14"/>
  <c r="G107" i="14"/>
  <c r="B107" i="14"/>
  <c r="C107" i="14"/>
  <c r="G109" i="13"/>
  <c r="C109" i="13"/>
  <c r="B109" i="13"/>
  <c r="D109" i="13"/>
  <c r="A110" i="13" a="1"/>
  <c r="A110" i="13" s="1"/>
  <c r="E110" i="13" s="1"/>
  <c r="E109" i="13"/>
  <c r="H109" i="13"/>
  <c r="A109" i="14" l="1" a="1"/>
  <c r="A109" i="14" s="1"/>
  <c r="E108" i="14"/>
  <c r="D108" i="14"/>
  <c r="F108" i="14"/>
  <c r="G108" i="14"/>
  <c r="B108" i="14"/>
  <c r="H108" i="14"/>
  <c r="C108" i="14"/>
  <c r="D110" i="13"/>
  <c r="C110" i="13"/>
  <c r="B110" i="13"/>
  <c r="G110" i="13"/>
  <c r="A111" i="13" a="1"/>
  <c r="A111" i="13" s="1"/>
  <c r="D111" i="13" s="1"/>
  <c r="F110" i="13"/>
  <c r="H110" i="13"/>
  <c r="A110" i="14" l="1" a="1"/>
  <c r="A110" i="14" s="1"/>
  <c r="B109" i="14"/>
  <c r="F109" i="14"/>
  <c r="C109" i="14"/>
  <c r="H109" i="14"/>
  <c r="E109" i="14"/>
  <c r="G109" i="14"/>
  <c r="D109" i="14"/>
  <c r="G111" i="13"/>
  <c r="C111" i="13"/>
  <c r="B111" i="13"/>
  <c r="H111" i="13"/>
  <c r="A112" i="13" a="1"/>
  <c r="A112" i="13" s="1"/>
  <c r="H112" i="13" s="1"/>
  <c r="F111" i="13"/>
  <c r="E111" i="13"/>
  <c r="A111" i="14" l="1" a="1"/>
  <c r="A111" i="14" s="1"/>
  <c r="C110" i="14"/>
  <c r="G110" i="14"/>
  <c r="F110" i="14"/>
  <c r="E110" i="14"/>
  <c r="H110" i="14"/>
  <c r="B110" i="14"/>
  <c r="D110" i="14"/>
  <c r="F112" i="13"/>
  <c r="E112" i="13"/>
  <c r="D112" i="13"/>
  <c r="C112" i="13"/>
  <c r="B112" i="13"/>
  <c r="G112" i="13"/>
  <c r="A113" i="13" a="1"/>
  <c r="A113" i="13" s="1"/>
  <c r="D113" i="13" s="1"/>
  <c r="A112" i="14" l="1" a="1"/>
  <c r="A112" i="14" s="1"/>
  <c r="D111" i="14"/>
  <c r="H111" i="14"/>
  <c r="E111" i="14"/>
  <c r="F111" i="14"/>
  <c r="G111" i="14"/>
  <c r="B111" i="14"/>
  <c r="C111" i="14"/>
  <c r="E113" i="13"/>
  <c r="C113" i="13"/>
  <c r="B113" i="13"/>
  <c r="G113" i="13"/>
  <c r="A114" i="13" a="1"/>
  <c r="A114" i="13" s="1"/>
  <c r="D114" i="13" s="1"/>
  <c r="H113" i="13"/>
  <c r="F113" i="13"/>
  <c r="A113" i="14" l="1" a="1"/>
  <c r="A113" i="14" s="1"/>
  <c r="E112" i="14"/>
  <c r="C112" i="14"/>
  <c r="H112" i="14"/>
  <c r="F112" i="14"/>
  <c r="G112" i="14"/>
  <c r="B112" i="14"/>
  <c r="D112" i="14"/>
  <c r="F114" i="13"/>
  <c r="G114" i="13"/>
  <c r="E114" i="13"/>
  <c r="C114" i="13"/>
  <c r="B114" i="13"/>
  <c r="H114" i="13"/>
  <c r="A115" i="13" a="1"/>
  <c r="A115" i="13" s="1"/>
  <c r="F115" i="13" s="1"/>
  <c r="A114" i="14" l="1" a="1"/>
  <c r="A114" i="14" s="1"/>
  <c r="B113" i="14"/>
  <c r="F113" i="14"/>
  <c r="G113" i="14"/>
  <c r="E113" i="14"/>
  <c r="H113" i="14"/>
  <c r="C113" i="14"/>
  <c r="D113" i="14"/>
  <c r="E115" i="13"/>
  <c r="C115" i="13"/>
  <c r="B115" i="13"/>
  <c r="H115" i="13"/>
  <c r="D115" i="13"/>
  <c r="A116" i="13" a="1"/>
  <c r="A116" i="13" s="1"/>
  <c r="H116" i="13" s="1"/>
  <c r="G115" i="13"/>
  <c r="A115" i="14" l="1" a="1"/>
  <c r="A115" i="14" s="1"/>
  <c r="C114" i="14"/>
  <c r="G114" i="14"/>
  <c r="E114" i="14"/>
  <c r="F114" i="14"/>
  <c r="H114" i="14"/>
  <c r="B114" i="14"/>
  <c r="D114" i="14"/>
  <c r="A117" i="13" a="1"/>
  <c r="A117" i="13" s="1"/>
  <c r="E117" i="13" s="1"/>
  <c r="D116" i="13"/>
  <c r="G116" i="13"/>
  <c r="E116" i="13"/>
  <c r="F116" i="13"/>
  <c r="C116" i="13"/>
  <c r="B116" i="13"/>
  <c r="A116" i="14" l="1" a="1"/>
  <c r="A116" i="14" s="1"/>
  <c r="D115" i="14"/>
  <c r="H115" i="14"/>
  <c r="C115" i="14"/>
  <c r="F115" i="14"/>
  <c r="G115" i="14"/>
  <c r="B115" i="14"/>
  <c r="E115" i="14"/>
  <c r="F117" i="13"/>
  <c r="H117" i="13"/>
  <c r="G117" i="13"/>
  <c r="D117" i="13"/>
  <c r="B117" i="13"/>
  <c r="C117" i="13"/>
  <c r="A118" i="13" a="1"/>
  <c r="A118" i="13" s="1"/>
  <c r="G118" i="13" s="1"/>
  <c r="A117" i="14" l="1" a="1"/>
  <c r="A117" i="14" s="1"/>
  <c r="E116" i="14"/>
  <c r="B116" i="14"/>
  <c r="G116" i="14"/>
  <c r="F116" i="14"/>
  <c r="H116" i="14"/>
  <c r="C116" i="14"/>
  <c r="D116" i="14"/>
  <c r="A119" i="13" a="1"/>
  <c r="A119" i="13" s="1"/>
  <c r="A120" i="13" s="1" a="1"/>
  <c r="A120" i="13" s="1"/>
  <c r="E118" i="13"/>
  <c r="F118" i="13"/>
  <c r="C118" i="13"/>
  <c r="B118" i="13"/>
  <c r="D118" i="13"/>
  <c r="H118" i="13"/>
  <c r="A118" i="14" l="1" a="1"/>
  <c r="A118" i="14" s="1"/>
  <c r="B117" i="14"/>
  <c r="F117" i="14"/>
  <c r="E117" i="14"/>
  <c r="G117" i="14"/>
  <c r="H117" i="14"/>
  <c r="C117" i="14"/>
  <c r="D117" i="14"/>
  <c r="E119" i="13"/>
  <c r="G119" i="13"/>
  <c r="C119" i="13"/>
  <c r="H119" i="13"/>
  <c r="F119" i="13"/>
  <c r="B119" i="13"/>
  <c r="D119" i="13"/>
  <c r="C120" i="13"/>
  <c r="E120" i="13"/>
  <c r="F120" i="13"/>
  <c r="D120" i="13"/>
  <c r="G120" i="13"/>
  <c r="H120" i="13"/>
  <c r="A121" i="13" a="1"/>
  <c r="A121" i="13" s="1"/>
  <c r="B120" i="13"/>
  <c r="A119" i="14" l="1" a="1"/>
  <c r="A119" i="14" s="1"/>
  <c r="C118" i="14"/>
  <c r="G118" i="14"/>
  <c r="E118" i="14"/>
  <c r="F118" i="14"/>
  <c r="B118" i="14"/>
  <c r="H118" i="14"/>
  <c r="D118" i="14"/>
  <c r="C121" i="13"/>
  <c r="D121" i="13"/>
  <c r="H121" i="13"/>
  <c r="F121" i="13"/>
  <c r="E121" i="13"/>
  <c r="G121" i="13"/>
  <c r="A122" i="13" a="1"/>
  <c r="A122" i="13" s="1"/>
  <c r="B121" i="13"/>
  <c r="A120" i="14" l="1" a="1"/>
  <c r="A120" i="14" s="1"/>
  <c r="D119" i="14"/>
  <c r="H119" i="14"/>
  <c r="C119" i="14"/>
  <c r="E119" i="14"/>
  <c r="F119" i="14"/>
  <c r="G119" i="14"/>
  <c r="B119" i="14"/>
  <c r="C122" i="13"/>
  <c r="G122" i="13"/>
  <c r="F122" i="13"/>
  <c r="E122" i="13"/>
  <c r="H122" i="13"/>
  <c r="D122" i="13"/>
  <c r="A123" i="13" a="1"/>
  <c r="A123" i="13" s="1"/>
  <c r="B122" i="13"/>
  <c r="A121" i="14" l="1" a="1"/>
  <c r="A121" i="14" s="1"/>
  <c r="E120" i="14"/>
  <c r="B120" i="14"/>
  <c r="G120" i="14"/>
  <c r="C120" i="14"/>
  <c r="H120" i="14"/>
  <c r="D120" i="14"/>
  <c r="F120" i="14"/>
  <c r="C123" i="13"/>
  <c r="F123" i="13"/>
  <c r="G123" i="13"/>
  <c r="E123" i="13"/>
  <c r="H123" i="13"/>
  <c r="D123" i="13"/>
  <c r="A124" i="13" a="1"/>
  <c r="A124" i="13" s="1"/>
  <c r="B123" i="13"/>
  <c r="A122" i="14" l="1" a="1"/>
  <c r="A122" i="14" s="1"/>
  <c r="B121" i="14"/>
  <c r="F121" i="14"/>
  <c r="E121" i="14"/>
  <c r="G121" i="14"/>
  <c r="C121" i="14"/>
  <c r="H121" i="14"/>
  <c r="D121" i="14"/>
  <c r="C124" i="13"/>
  <c r="E124" i="13"/>
  <c r="G124" i="13"/>
  <c r="F124" i="13"/>
  <c r="H124" i="13"/>
  <c r="D124" i="13"/>
  <c r="A125" i="13" a="1"/>
  <c r="A125" i="13" s="1"/>
  <c r="B124" i="13"/>
  <c r="A123" i="14" l="1" a="1"/>
  <c r="A123" i="14" s="1"/>
  <c r="C122" i="14"/>
  <c r="G122" i="14"/>
  <c r="D122" i="14"/>
  <c r="E122" i="14"/>
  <c r="F122" i="14"/>
  <c r="H122" i="14"/>
  <c r="B122" i="14"/>
  <c r="C125" i="13"/>
  <c r="D125" i="13"/>
  <c r="H125" i="13"/>
  <c r="G125" i="13"/>
  <c r="F125" i="13"/>
  <c r="E125" i="13"/>
  <c r="A126" i="13" a="1"/>
  <c r="A126" i="13" s="1"/>
  <c r="B125" i="13"/>
  <c r="A124" i="14" l="1" a="1"/>
  <c r="A124" i="14" s="1"/>
  <c r="D123" i="14"/>
  <c r="H123" i="14"/>
  <c r="B123" i="14"/>
  <c r="G123" i="14"/>
  <c r="C123" i="14"/>
  <c r="E123" i="14"/>
  <c r="F123" i="14"/>
  <c r="C126" i="13"/>
  <c r="G126" i="13"/>
  <c r="H126" i="13"/>
  <c r="F126" i="13"/>
  <c r="E126" i="13"/>
  <c r="D126" i="13"/>
  <c r="A127" i="13" a="1"/>
  <c r="A127" i="13" s="1"/>
  <c r="B126" i="13"/>
  <c r="A125" i="14" l="1" a="1"/>
  <c r="A125" i="14" s="1"/>
  <c r="E124" i="14"/>
  <c r="F124" i="14"/>
  <c r="B124" i="14"/>
  <c r="G124" i="14"/>
  <c r="C124" i="14"/>
  <c r="H124" i="14"/>
  <c r="D124" i="14"/>
  <c r="C127" i="13"/>
  <c r="F127" i="13"/>
  <c r="H127" i="13"/>
  <c r="G127" i="13"/>
  <c r="D127" i="13"/>
  <c r="E127" i="13"/>
  <c r="A128" i="13" a="1"/>
  <c r="A128" i="13" s="1"/>
  <c r="B127" i="13"/>
  <c r="A126" i="14" l="1" a="1"/>
  <c r="A126" i="14" s="1"/>
  <c r="B125" i="14"/>
  <c r="F125" i="14"/>
  <c r="D125" i="14"/>
  <c r="E125" i="14"/>
  <c r="G125" i="14"/>
  <c r="H125" i="14"/>
  <c r="C125" i="14"/>
  <c r="E128" i="13"/>
  <c r="H128" i="13"/>
  <c r="G128" i="13"/>
  <c r="C128" i="13"/>
  <c r="F128" i="13"/>
  <c r="D128" i="13"/>
  <c r="A129" i="13" a="1"/>
  <c r="A129" i="13" s="1"/>
  <c r="B128" i="13"/>
  <c r="A127" i="14" l="1" a="1"/>
  <c r="A127" i="14" s="1"/>
  <c r="C126" i="14"/>
  <c r="G126" i="14"/>
  <c r="B126" i="14"/>
  <c r="H126" i="14"/>
  <c r="D126" i="14"/>
  <c r="E126" i="14"/>
  <c r="F126" i="14"/>
  <c r="D129" i="13"/>
  <c r="H129" i="13"/>
  <c r="G129" i="13"/>
  <c r="C129" i="13"/>
  <c r="E129" i="13"/>
  <c r="F129" i="13"/>
  <c r="A130" i="13" a="1"/>
  <c r="A130" i="13" s="1"/>
  <c r="B129" i="13"/>
  <c r="A128" i="14" l="1" a="1"/>
  <c r="A128" i="14" s="1"/>
  <c r="D127" i="14"/>
  <c r="H127" i="14"/>
  <c r="F127" i="14"/>
  <c r="B127" i="14"/>
  <c r="G127" i="14"/>
  <c r="C127" i="14"/>
  <c r="E127" i="14"/>
  <c r="C130" i="13"/>
  <c r="G130" i="13"/>
  <c r="D130" i="13"/>
  <c r="H130" i="13"/>
  <c r="E130" i="13"/>
  <c r="F130" i="13"/>
  <c r="A131" i="13" a="1"/>
  <c r="A131" i="13" s="1"/>
  <c r="B130" i="13"/>
  <c r="A129" i="14" l="1" a="1"/>
  <c r="A129" i="14" s="1"/>
  <c r="E128" i="14"/>
  <c r="D128" i="14"/>
  <c r="F128" i="14"/>
  <c r="G128" i="14"/>
  <c r="B128" i="14"/>
  <c r="H128" i="14"/>
  <c r="C128" i="14"/>
  <c r="C131" i="13"/>
  <c r="F131" i="13"/>
  <c r="D131" i="13"/>
  <c r="H131" i="13"/>
  <c r="E131" i="13"/>
  <c r="G131" i="13"/>
  <c r="A132" i="13" a="1"/>
  <c r="A132" i="13" s="1"/>
  <c r="B131" i="13"/>
  <c r="A130" i="14" l="1" a="1"/>
  <c r="A130" i="14" s="1"/>
  <c r="B129" i="14"/>
  <c r="F129" i="14"/>
  <c r="C129" i="14"/>
  <c r="H129" i="14"/>
  <c r="D129" i="14"/>
  <c r="E129" i="14"/>
  <c r="G129" i="14"/>
  <c r="C132" i="13"/>
  <c r="E132" i="13"/>
  <c r="D132" i="13"/>
  <c r="H132" i="13"/>
  <c r="F132" i="13"/>
  <c r="G132" i="13"/>
  <c r="A133" i="13" a="1"/>
  <c r="A133" i="13" s="1"/>
  <c r="B132" i="13"/>
  <c r="A131" i="14" l="1" a="1"/>
  <c r="A131" i="14" s="1"/>
  <c r="C130" i="14"/>
  <c r="G130" i="14"/>
  <c r="F130" i="14"/>
  <c r="B130" i="14"/>
  <c r="H130" i="14"/>
  <c r="D130" i="14"/>
  <c r="E130" i="14"/>
  <c r="C133" i="13"/>
  <c r="D133" i="13"/>
  <c r="H133" i="13"/>
  <c r="E133" i="13"/>
  <c r="F133" i="13"/>
  <c r="G133" i="13"/>
  <c r="A134" i="13" a="1"/>
  <c r="A134" i="13" s="1"/>
  <c r="B133" i="13"/>
  <c r="A132" i="14" l="1" a="1"/>
  <c r="A132" i="14" s="1"/>
  <c r="D131" i="14"/>
  <c r="H131" i="14"/>
  <c r="E131" i="14"/>
  <c r="F131" i="14"/>
  <c r="G131" i="14"/>
  <c r="B131" i="14"/>
  <c r="C131" i="14"/>
  <c r="C134" i="13"/>
  <c r="G134" i="13"/>
  <c r="E134" i="13"/>
  <c r="D134" i="13"/>
  <c r="H134" i="13"/>
  <c r="F134" i="13"/>
  <c r="A135" i="13" a="1"/>
  <c r="A135" i="13" s="1"/>
  <c r="B134" i="13"/>
  <c r="A133" i="14" l="1" a="1"/>
  <c r="A133" i="14" s="1"/>
  <c r="E132" i="14"/>
  <c r="C132" i="14"/>
  <c r="H132" i="14"/>
  <c r="D132" i="14"/>
  <c r="F132" i="14"/>
  <c r="B132" i="14"/>
  <c r="G132" i="14"/>
  <c r="C135" i="13"/>
  <c r="F135" i="13"/>
  <c r="E135" i="13"/>
  <c r="D135" i="13"/>
  <c r="G135" i="13"/>
  <c r="H135" i="13"/>
  <c r="A136" i="13" a="1"/>
  <c r="A136" i="13" s="1"/>
  <c r="B135" i="13"/>
  <c r="A134" i="14" l="1" a="1"/>
  <c r="A134" i="14" s="1"/>
  <c r="B133" i="14"/>
  <c r="F133" i="14"/>
  <c r="G133" i="14"/>
  <c r="C133" i="14"/>
  <c r="H133" i="14"/>
  <c r="D133" i="14"/>
  <c r="E133" i="14"/>
  <c r="C136" i="13"/>
  <c r="E136" i="13"/>
  <c r="F136" i="13"/>
  <c r="D136" i="13"/>
  <c r="G136" i="13"/>
  <c r="H136" i="13"/>
  <c r="A137" i="13" a="1"/>
  <c r="A137" i="13" s="1"/>
  <c r="B136" i="13"/>
  <c r="A135" i="14" l="1" a="1"/>
  <c r="A135" i="14" s="1"/>
  <c r="C134" i="14"/>
  <c r="G134" i="14"/>
  <c r="E134" i="14"/>
  <c r="F134" i="14"/>
  <c r="H134" i="14"/>
  <c r="B134" i="14"/>
  <c r="D134" i="14"/>
  <c r="C137" i="13"/>
  <c r="D137" i="13"/>
  <c r="H137" i="13"/>
  <c r="F137" i="13"/>
  <c r="E137" i="13"/>
  <c r="G137" i="13"/>
  <c r="A138" i="13" a="1"/>
  <c r="A138" i="13" s="1"/>
  <c r="B137" i="13"/>
  <c r="A136" i="14" l="1" a="1"/>
  <c r="A136" i="14" s="1"/>
  <c r="D135" i="14"/>
  <c r="H135" i="14"/>
  <c r="C135" i="14"/>
  <c r="E135" i="14"/>
  <c r="F135" i="14"/>
  <c r="B135" i="14"/>
  <c r="G135" i="14"/>
  <c r="C138" i="13"/>
  <c r="G138" i="13"/>
  <c r="F138" i="13"/>
  <c r="E138" i="13"/>
  <c r="D138" i="13"/>
  <c r="H138" i="13"/>
  <c r="A139" i="13" a="1"/>
  <c r="A139" i="13" s="1"/>
  <c r="B138" i="13"/>
  <c r="A137" i="14" l="1" a="1"/>
  <c r="A137" i="14" s="1"/>
  <c r="E136" i="14"/>
  <c r="B136" i="14"/>
  <c r="G136" i="14"/>
  <c r="C136" i="14"/>
  <c r="H136" i="14"/>
  <c r="D136" i="14"/>
  <c r="F136" i="14"/>
  <c r="F139" i="13"/>
  <c r="G139" i="13"/>
  <c r="C139" i="13"/>
  <c r="E139" i="13"/>
  <c r="H139" i="13"/>
  <c r="D139" i="13"/>
  <c r="A140" i="13" a="1"/>
  <c r="A140" i="13" s="1"/>
  <c r="B139" i="13"/>
  <c r="A138" i="14" l="1" a="1"/>
  <c r="A138" i="14" s="1"/>
  <c r="B137" i="14"/>
  <c r="F137" i="14"/>
  <c r="E137" i="14"/>
  <c r="G137" i="14"/>
  <c r="H137" i="14"/>
  <c r="C137" i="14"/>
  <c r="D137" i="14"/>
  <c r="E140" i="13"/>
  <c r="C140" i="13"/>
  <c r="G140" i="13"/>
  <c r="F140" i="13"/>
  <c r="H140" i="13"/>
  <c r="D140" i="13"/>
  <c r="B140" i="13"/>
  <c r="A141" i="13" a="1"/>
  <c r="A141" i="13" s="1"/>
  <c r="A139" i="14" l="1" a="1"/>
  <c r="A139" i="14" s="1"/>
  <c r="C138" i="14"/>
  <c r="G138" i="14"/>
  <c r="D138" i="14"/>
  <c r="E138" i="14"/>
  <c r="F138" i="14"/>
  <c r="B138" i="14"/>
  <c r="H138" i="14"/>
  <c r="C141" i="13"/>
  <c r="D141" i="13"/>
  <c r="H141" i="13"/>
  <c r="G141" i="13"/>
  <c r="F141" i="13"/>
  <c r="E141" i="13"/>
  <c r="A142" i="13" a="1"/>
  <c r="A142" i="13" s="1"/>
  <c r="B141" i="13"/>
  <c r="A140" i="14" l="1" a="1"/>
  <c r="A140" i="14" s="1"/>
  <c r="D139" i="14"/>
  <c r="H139" i="14"/>
  <c r="B139" i="14"/>
  <c r="G139" i="14"/>
  <c r="C139" i="14"/>
  <c r="E139" i="14"/>
  <c r="F139" i="14"/>
  <c r="C142" i="13"/>
  <c r="G142" i="13"/>
  <c r="H142" i="13"/>
  <c r="F142" i="13"/>
  <c r="D142" i="13"/>
  <c r="E142" i="13"/>
  <c r="A143" i="13" a="1"/>
  <c r="A143" i="13" s="1"/>
  <c r="B142" i="13"/>
  <c r="A141" i="14" l="1" a="1"/>
  <c r="A141" i="14" s="1"/>
  <c r="E140" i="14"/>
  <c r="F140" i="14"/>
  <c r="B140" i="14"/>
  <c r="G140" i="14"/>
  <c r="H140" i="14"/>
  <c r="C140" i="14"/>
  <c r="D140" i="14"/>
  <c r="C143" i="13"/>
  <c r="F143" i="13"/>
  <c r="H143" i="13"/>
  <c r="G143" i="13"/>
  <c r="E143" i="13"/>
  <c r="D143" i="13"/>
  <c r="A144" i="13" a="1"/>
  <c r="A144" i="13" s="1"/>
  <c r="B143" i="13"/>
  <c r="A142" i="14" l="1" a="1"/>
  <c r="A142" i="14" s="1"/>
  <c r="B141" i="14"/>
  <c r="F141" i="14"/>
  <c r="D141" i="14"/>
  <c r="E141" i="14"/>
  <c r="G141" i="14"/>
  <c r="C141" i="14"/>
  <c r="H141" i="14"/>
  <c r="C144" i="13"/>
  <c r="E144" i="13"/>
  <c r="H144" i="13"/>
  <c r="G144" i="13"/>
  <c r="D144" i="13"/>
  <c r="F144" i="13"/>
  <c r="A145" i="13" a="1"/>
  <c r="A145" i="13" s="1"/>
  <c r="B144" i="13"/>
  <c r="A143" i="14" l="1" a="1"/>
  <c r="A143" i="14" s="1"/>
  <c r="C142" i="14"/>
  <c r="G142" i="14"/>
  <c r="B142" i="14"/>
  <c r="H142" i="14"/>
  <c r="D142" i="14"/>
  <c r="E142" i="14"/>
  <c r="F142" i="14"/>
  <c r="C145" i="13"/>
  <c r="D145" i="13"/>
  <c r="H145" i="13"/>
  <c r="G145" i="13"/>
  <c r="F145" i="13"/>
  <c r="E145" i="13"/>
  <c r="A146" i="13" a="1"/>
  <c r="A146" i="13" s="1"/>
  <c r="B145" i="13"/>
  <c r="A144" i="14" l="1" a="1"/>
  <c r="A144" i="14" s="1"/>
  <c r="D143" i="14"/>
  <c r="H143" i="14"/>
  <c r="F143" i="14"/>
  <c r="B143" i="14"/>
  <c r="G143" i="14"/>
  <c r="C143" i="14"/>
  <c r="E143" i="14"/>
  <c r="C146" i="13"/>
  <c r="G146" i="13"/>
  <c r="D146" i="13"/>
  <c r="H146" i="13"/>
  <c r="E146" i="13"/>
  <c r="F146" i="13"/>
  <c r="A147" i="13" a="1"/>
  <c r="A147" i="13" s="1"/>
  <c r="B146" i="13"/>
  <c r="A145" i="14" l="1" a="1"/>
  <c r="A145" i="14" s="1"/>
  <c r="E144" i="14"/>
  <c r="D144" i="14"/>
  <c r="F144" i="14"/>
  <c r="B144" i="14"/>
  <c r="G144" i="14"/>
  <c r="C144" i="14"/>
  <c r="H144" i="14"/>
  <c r="C147" i="13"/>
  <c r="F147" i="13"/>
  <c r="D147" i="13"/>
  <c r="H147" i="13"/>
  <c r="E147" i="13"/>
  <c r="G147" i="13"/>
  <c r="A148" i="13" a="1"/>
  <c r="A148" i="13" s="1"/>
  <c r="B147" i="13"/>
  <c r="A146" i="14" l="1" a="1"/>
  <c r="A146" i="14" s="1"/>
  <c r="B145" i="14"/>
  <c r="F145" i="14"/>
  <c r="C145" i="14"/>
  <c r="H145" i="14"/>
  <c r="D145" i="14"/>
  <c r="E145" i="14"/>
  <c r="G145" i="14"/>
  <c r="C148" i="13"/>
  <c r="E148" i="13"/>
  <c r="D148" i="13"/>
  <c r="H148" i="13"/>
  <c r="F148" i="13"/>
  <c r="G148" i="13"/>
  <c r="A149" i="13" a="1"/>
  <c r="A149" i="13" s="1"/>
  <c r="B148" i="13"/>
  <c r="A147" i="14" l="1" a="1"/>
  <c r="A147" i="14" s="1"/>
  <c r="C146" i="14"/>
  <c r="G146" i="14"/>
  <c r="F146" i="14"/>
  <c r="B146" i="14"/>
  <c r="H146" i="14"/>
  <c r="D146" i="14"/>
  <c r="E146" i="14"/>
  <c r="D149" i="13"/>
  <c r="H149" i="13"/>
  <c r="E149" i="13"/>
  <c r="C149" i="13"/>
  <c r="F149" i="13"/>
  <c r="G149" i="13"/>
  <c r="A150" i="13" a="1"/>
  <c r="A150" i="13" s="1"/>
  <c r="B149" i="13"/>
  <c r="A148" i="14" l="1" a="1"/>
  <c r="A148" i="14" s="1"/>
  <c r="D147" i="14"/>
  <c r="H147" i="14"/>
  <c r="E147" i="14"/>
  <c r="F147" i="14"/>
  <c r="B147" i="14"/>
  <c r="G147" i="14"/>
  <c r="C147" i="14"/>
  <c r="C150" i="13"/>
  <c r="G150" i="13"/>
  <c r="E150" i="13"/>
  <c r="D150" i="13"/>
  <c r="F150" i="13"/>
  <c r="H150" i="13"/>
  <c r="A151" i="13" a="1"/>
  <c r="A151" i="13" s="1"/>
  <c r="B150" i="13"/>
  <c r="A149" i="14" l="1" a="1"/>
  <c r="A149" i="14" s="1"/>
  <c r="E148" i="14"/>
  <c r="C148" i="14"/>
  <c r="H148" i="14"/>
  <c r="D148" i="14"/>
  <c r="F148" i="14"/>
  <c r="G148" i="14"/>
  <c r="B148" i="14"/>
  <c r="F151" i="13"/>
  <c r="E151" i="13"/>
  <c r="D151" i="13"/>
  <c r="C151" i="13"/>
  <c r="H151" i="13"/>
  <c r="G151" i="13"/>
  <c r="A152" i="13" a="1"/>
  <c r="A152" i="13" s="1"/>
  <c r="B151" i="13"/>
  <c r="A150" i="14" l="1" a="1"/>
  <c r="A150" i="14" s="1"/>
  <c r="B149" i="14"/>
  <c r="F149" i="14"/>
  <c r="G149" i="14"/>
  <c r="C149" i="14"/>
  <c r="H149" i="14"/>
  <c r="D149" i="14"/>
  <c r="E149" i="14"/>
  <c r="C152" i="13"/>
  <c r="E152" i="13"/>
  <c r="F152" i="13"/>
  <c r="D152" i="13"/>
  <c r="G152" i="13"/>
  <c r="H152" i="13"/>
  <c r="A153" i="13" a="1"/>
  <c r="A153" i="13" s="1"/>
  <c r="B152" i="13"/>
  <c r="A151" i="14" l="1" a="1"/>
  <c r="A151" i="14" s="1"/>
  <c r="C150" i="14"/>
  <c r="G150" i="14"/>
  <c r="E150" i="14"/>
  <c r="F150" i="14"/>
  <c r="B150" i="14"/>
  <c r="H150" i="14"/>
  <c r="D150" i="14"/>
  <c r="C153" i="13"/>
  <c r="D153" i="13"/>
  <c r="H153" i="13"/>
  <c r="F153" i="13"/>
  <c r="E153" i="13"/>
  <c r="G153" i="13"/>
  <c r="A154" i="13" a="1"/>
  <c r="A154" i="13" s="1"/>
  <c r="B153" i="13"/>
  <c r="A152" i="14" l="1" a="1"/>
  <c r="A152" i="14" s="1"/>
  <c r="D151" i="14"/>
  <c r="H151" i="14"/>
  <c r="C151" i="14"/>
  <c r="E151" i="14"/>
  <c r="F151" i="14"/>
  <c r="G151" i="14"/>
  <c r="B151" i="14"/>
  <c r="C154" i="13"/>
  <c r="G154" i="13"/>
  <c r="F154" i="13"/>
  <c r="E154" i="13"/>
  <c r="H154" i="13"/>
  <c r="D154" i="13"/>
  <c r="A155" i="13" a="1"/>
  <c r="A155" i="13" s="1"/>
  <c r="B154" i="13"/>
  <c r="A153" i="14" l="1" a="1"/>
  <c r="A153" i="14" s="1"/>
  <c r="E152" i="14"/>
  <c r="B152" i="14"/>
  <c r="G152" i="14"/>
  <c r="C152" i="14"/>
  <c r="H152" i="14"/>
  <c r="D152" i="14"/>
  <c r="F152" i="14"/>
  <c r="C155" i="13"/>
  <c r="F155" i="13"/>
  <c r="G155" i="13"/>
  <c r="E155" i="13"/>
  <c r="D155" i="13"/>
  <c r="H155" i="13"/>
  <c r="A156" i="13" a="1"/>
  <c r="A156" i="13" s="1"/>
  <c r="B155" i="13"/>
  <c r="A154" i="14" l="1" a="1"/>
  <c r="A154" i="14" s="1"/>
  <c r="B153" i="14"/>
  <c r="F153" i="14"/>
  <c r="E153" i="14"/>
  <c r="G153" i="14"/>
  <c r="C153" i="14"/>
  <c r="H153" i="14"/>
  <c r="D153" i="14"/>
  <c r="C156" i="13"/>
  <c r="E156" i="13"/>
  <c r="G156" i="13"/>
  <c r="F156" i="13"/>
  <c r="H156" i="13"/>
  <c r="D156" i="13"/>
  <c r="A157" i="13" a="1"/>
  <c r="A157" i="13" s="1"/>
  <c r="B156" i="13"/>
  <c r="A155" i="14" l="1" a="1"/>
  <c r="A155" i="14" s="1"/>
  <c r="C154" i="14"/>
  <c r="G154" i="14"/>
  <c r="D154" i="14"/>
  <c r="E154" i="14"/>
  <c r="F154" i="14"/>
  <c r="H154" i="14"/>
  <c r="B154" i="14"/>
  <c r="C157" i="13"/>
  <c r="D157" i="13"/>
  <c r="H157" i="13"/>
  <c r="G157" i="13"/>
  <c r="F157" i="13"/>
  <c r="E157" i="13"/>
  <c r="A158" i="13" a="1"/>
  <c r="A158" i="13" s="1"/>
  <c r="B157" i="13"/>
  <c r="A156" i="14" l="1" a="1"/>
  <c r="A156" i="14" s="1"/>
  <c r="D155" i="14"/>
  <c r="H155" i="14"/>
  <c r="B155" i="14"/>
  <c r="G155" i="14"/>
  <c r="C155" i="14"/>
  <c r="E155" i="14"/>
  <c r="F155" i="14"/>
  <c r="C158" i="13"/>
  <c r="G158" i="13"/>
  <c r="H158" i="13"/>
  <c r="F158" i="13"/>
  <c r="D158" i="13"/>
  <c r="E158" i="13"/>
  <c r="A159" i="13" a="1"/>
  <c r="A159" i="13" s="1"/>
  <c r="B158" i="13"/>
  <c r="A157" i="14" l="1" a="1"/>
  <c r="A157" i="14" s="1"/>
  <c r="E156" i="14"/>
  <c r="F156" i="14"/>
  <c r="B156" i="14"/>
  <c r="G156" i="14"/>
  <c r="C156" i="14"/>
  <c r="H156" i="14"/>
  <c r="D156" i="14"/>
  <c r="C159" i="13"/>
  <c r="F159" i="13"/>
  <c r="H159" i="13"/>
  <c r="G159" i="13"/>
  <c r="D159" i="13"/>
  <c r="E159" i="13"/>
  <c r="A160" i="13" a="1"/>
  <c r="A160" i="13" s="1"/>
  <c r="B159" i="13"/>
  <c r="A158" i="14" l="1" a="1"/>
  <c r="A158" i="14" s="1"/>
  <c r="B157" i="14"/>
  <c r="F157" i="14"/>
  <c r="D157" i="14"/>
  <c r="E157" i="14"/>
  <c r="G157" i="14"/>
  <c r="H157" i="14"/>
  <c r="C157" i="14"/>
  <c r="E160" i="13"/>
  <c r="H160" i="13"/>
  <c r="C160" i="13"/>
  <c r="G160" i="13"/>
  <c r="F160" i="13"/>
  <c r="D160" i="13"/>
  <c r="A161" i="13" a="1"/>
  <c r="A161" i="13" s="1"/>
  <c r="B160" i="13"/>
  <c r="A159" i="14" l="1" a="1"/>
  <c r="A159" i="14" s="1"/>
  <c r="C158" i="14"/>
  <c r="G158" i="14"/>
  <c r="B158" i="14"/>
  <c r="H158" i="14"/>
  <c r="D158" i="14"/>
  <c r="E158" i="14"/>
  <c r="F158" i="14"/>
  <c r="D161" i="13"/>
  <c r="H161" i="13"/>
  <c r="C161" i="13"/>
  <c r="G161" i="13"/>
  <c r="E161" i="13"/>
  <c r="F161" i="13"/>
  <c r="A162" i="13" a="1"/>
  <c r="A162" i="13" s="1"/>
  <c r="B161" i="13"/>
  <c r="A160" i="14" l="1" a="1"/>
  <c r="A160" i="14" s="1"/>
  <c r="E159" i="14"/>
  <c r="B159" i="14"/>
  <c r="F159" i="14"/>
  <c r="C159" i="14"/>
  <c r="G159" i="14"/>
  <c r="D159" i="14"/>
  <c r="H159" i="14"/>
  <c r="C162" i="13"/>
  <c r="G162" i="13"/>
  <c r="D162" i="13"/>
  <c r="H162" i="13"/>
  <c r="E162" i="13"/>
  <c r="F162" i="13"/>
  <c r="A163" i="13" a="1"/>
  <c r="A163" i="13" s="1"/>
  <c r="B162" i="13"/>
  <c r="A161" i="14" l="1" a="1"/>
  <c r="A161" i="14" s="1"/>
  <c r="B160" i="14"/>
  <c r="F160" i="14"/>
  <c r="C160" i="14"/>
  <c r="G160" i="14"/>
  <c r="D160" i="14"/>
  <c r="H160" i="14"/>
  <c r="E160" i="14"/>
  <c r="C163" i="13"/>
  <c r="F163" i="13"/>
  <c r="D163" i="13"/>
  <c r="H163" i="13"/>
  <c r="E163" i="13"/>
  <c r="G163" i="13"/>
  <c r="A164" i="13" a="1"/>
  <c r="A164" i="13" s="1"/>
  <c r="B163" i="13"/>
  <c r="A162" i="14" l="1" a="1"/>
  <c r="A162" i="14" s="1"/>
  <c r="C161" i="14"/>
  <c r="G161" i="14"/>
  <c r="D161" i="14"/>
  <c r="H161" i="14"/>
  <c r="E161" i="14"/>
  <c r="F161" i="14"/>
  <c r="B161" i="14"/>
  <c r="C164" i="13"/>
  <c r="E164" i="13"/>
  <c r="D164" i="13"/>
  <c r="H164" i="13"/>
  <c r="F164" i="13"/>
  <c r="G164" i="13"/>
  <c r="A165" i="13" a="1"/>
  <c r="A165" i="13" s="1"/>
  <c r="B164" i="13"/>
  <c r="A163" i="14" l="1" a="1"/>
  <c r="A163" i="14" s="1"/>
  <c r="D162" i="14"/>
  <c r="H162" i="14"/>
  <c r="E162" i="14"/>
  <c r="F162" i="14"/>
  <c r="B162" i="14"/>
  <c r="G162" i="14"/>
  <c r="C162" i="14"/>
  <c r="C165" i="13"/>
  <c r="D165" i="13"/>
  <c r="H165" i="13"/>
  <c r="E165" i="13"/>
  <c r="F165" i="13"/>
  <c r="G165" i="13"/>
  <c r="A166" i="13" a="1"/>
  <c r="A166" i="13" s="1"/>
  <c r="B165" i="13"/>
  <c r="A164" i="14" l="1" a="1"/>
  <c r="A164" i="14" s="1"/>
  <c r="E163" i="14"/>
  <c r="B163" i="14"/>
  <c r="F163" i="14"/>
  <c r="G163" i="14"/>
  <c r="C163" i="14"/>
  <c r="H163" i="14"/>
  <c r="D163" i="14"/>
  <c r="C166" i="13"/>
  <c r="G166" i="13"/>
  <c r="E166" i="13"/>
  <c r="D166" i="13"/>
  <c r="F166" i="13"/>
  <c r="H166" i="13"/>
  <c r="A167" i="13" a="1"/>
  <c r="A167" i="13" s="1"/>
  <c r="B166" i="13"/>
  <c r="A165" i="14" l="1" a="1"/>
  <c r="A165" i="14" s="1"/>
  <c r="B164" i="14"/>
  <c r="F164" i="14"/>
  <c r="C164" i="14"/>
  <c r="G164" i="14"/>
  <c r="H164" i="14"/>
  <c r="D164" i="14"/>
  <c r="E164" i="14"/>
  <c r="C167" i="13"/>
  <c r="F167" i="13"/>
  <c r="E167" i="13"/>
  <c r="D167" i="13"/>
  <c r="G167" i="13"/>
  <c r="H167" i="13"/>
  <c r="A168" i="13" a="1"/>
  <c r="A168" i="13" s="1"/>
  <c r="B167" i="13"/>
  <c r="A166" i="14" l="1" a="1"/>
  <c r="A166" i="14" s="1"/>
  <c r="C165" i="14"/>
  <c r="G165" i="14"/>
  <c r="D165" i="14"/>
  <c r="H165" i="14"/>
  <c r="E165" i="14"/>
  <c r="B165" i="14"/>
  <c r="F165" i="14"/>
  <c r="C168" i="13"/>
  <c r="E168" i="13"/>
  <c r="F168" i="13"/>
  <c r="D168" i="13"/>
  <c r="H168" i="13"/>
  <c r="G168" i="13"/>
  <c r="A169" i="13" a="1"/>
  <c r="A169" i="13" s="1"/>
  <c r="B168" i="13"/>
  <c r="A167" i="14" l="1" a="1"/>
  <c r="A167" i="14" s="1"/>
  <c r="D166" i="14"/>
  <c r="H166" i="14"/>
  <c r="E166" i="14"/>
  <c r="B166" i="14"/>
  <c r="F166" i="14"/>
  <c r="C166" i="14"/>
  <c r="G166" i="14"/>
  <c r="C169" i="13"/>
  <c r="D169" i="13"/>
  <c r="H169" i="13"/>
  <c r="F169" i="13"/>
  <c r="E169" i="13"/>
  <c r="G169" i="13"/>
  <c r="A170" i="13" a="1"/>
  <c r="A170" i="13" s="1"/>
  <c r="B169" i="13"/>
  <c r="A168" i="14" l="1" a="1"/>
  <c r="A168" i="14" s="1"/>
  <c r="E167" i="14"/>
  <c r="B167" i="14"/>
  <c r="F167" i="14"/>
  <c r="C167" i="14"/>
  <c r="G167" i="14"/>
  <c r="D167" i="14"/>
  <c r="H167" i="14"/>
  <c r="C170" i="13"/>
  <c r="G170" i="13"/>
  <c r="F170" i="13"/>
  <c r="E170" i="13"/>
  <c r="H170" i="13"/>
  <c r="D170" i="13"/>
  <c r="A171" i="13" a="1"/>
  <c r="A171" i="13" s="1"/>
  <c r="B170" i="13"/>
  <c r="A169" i="14" l="1" a="1"/>
  <c r="A169" i="14" s="1"/>
  <c r="B168" i="14"/>
  <c r="F168" i="14"/>
  <c r="C168" i="14"/>
  <c r="G168" i="14"/>
  <c r="D168" i="14"/>
  <c r="H168" i="14"/>
  <c r="E168" i="14"/>
  <c r="F171" i="13"/>
  <c r="G171" i="13"/>
  <c r="E171" i="13"/>
  <c r="H171" i="13"/>
  <c r="D171" i="13"/>
  <c r="C171" i="13"/>
  <c r="A172" i="13" a="1"/>
  <c r="A172" i="13" s="1"/>
  <c r="B171" i="13"/>
  <c r="A170" i="14" l="1" a="1"/>
  <c r="A170" i="14" s="1"/>
  <c r="C169" i="14"/>
  <c r="G169" i="14"/>
  <c r="D169" i="14"/>
  <c r="H169" i="14"/>
  <c r="E169" i="14"/>
  <c r="F169" i="14"/>
  <c r="B169" i="14"/>
  <c r="E172" i="13"/>
  <c r="G172" i="13"/>
  <c r="F172" i="13"/>
  <c r="C172" i="13"/>
  <c r="D172" i="13"/>
  <c r="H172" i="13"/>
  <c r="A173" i="13" a="1"/>
  <c r="A173" i="13" s="1"/>
  <c r="B172" i="13"/>
  <c r="A171" i="14" l="1" a="1"/>
  <c r="A171" i="14" s="1"/>
  <c r="D170" i="14"/>
  <c r="H170" i="14"/>
  <c r="E170" i="14"/>
  <c r="F170" i="14"/>
  <c r="B170" i="14"/>
  <c r="G170" i="14"/>
  <c r="C170" i="14"/>
  <c r="C173" i="13"/>
  <c r="D173" i="13"/>
  <c r="H173" i="13"/>
  <c r="G173" i="13"/>
  <c r="F173" i="13"/>
  <c r="E173" i="13"/>
  <c r="A174" i="13" a="1"/>
  <c r="A174" i="13" s="1"/>
  <c r="B173" i="13"/>
  <c r="A172" i="14" l="1" a="1"/>
  <c r="A172" i="14" s="1"/>
  <c r="E171" i="14"/>
  <c r="B171" i="14"/>
  <c r="F171" i="14"/>
  <c r="G171" i="14"/>
  <c r="C171" i="14"/>
  <c r="H171" i="14"/>
  <c r="D171" i="14"/>
  <c r="C174" i="13"/>
  <c r="G174" i="13"/>
  <c r="H174" i="13"/>
  <c r="F174" i="13"/>
  <c r="D174" i="13"/>
  <c r="E174" i="13"/>
  <c r="A175" i="13" a="1"/>
  <c r="A175" i="13" s="1"/>
  <c r="B174" i="13"/>
  <c r="A173" i="14" l="1" a="1"/>
  <c r="A173" i="14" s="1"/>
  <c r="B172" i="14"/>
  <c r="F172" i="14"/>
  <c r="C172" i="14"/>
  <c r="G172" i="14"/>
  <c r="H172" i="14"/>
  <c r="D172" i="14"/>
  <c r="E172" i="14"/>
  <c r="C175" i="13"/>
  <c r="F175" i="13"/>
  <c r="H175" i="13"/>
  <c r="G175" i="13"/>
  <c r="D175" i="13"/>
  <c r="E175" i="13"/>
  <c r="A176" i="13" a="1"/>
  <c r="A176" i="13" s="1"/>
  <c r="B175" i="13"/>
  <c r="A174" i="14" l="1" a="1"/>
  <c r="A174" i="14" s="1"/>
  <c r="C173" i="14"/>
  <c r="G173" i="14"/>
  <c r="D173" i="14"/>
  <c r="H173" i="14"/>
  <c r="E173" i="14"/>
  <c r="B173" i="14"/>
  <c r="F173" i="14"/>
  <c r="C176" i="13"/>
  <c r="E176" i="13"/>
  <c r="H176" i="13"/>
  <c r="G176" i="13"/>
  <c r="D176" i="13"/>
  <c r="F176" i="13"/>
  <c r="A177" i="13" a="1"/>
  <c r="A177" i="13" s="1"/>
  <c r="B176" i="13"/>
  <c r="A175" i="14" l="1" a="1"/>
  <c r="A175" i="14" s="1"/>
  <c r="D174" i="14"/>
  <c r="H174" i="14"/>
  <c r="E174" i="14"/>
  <c r="B174" i="14"/>
  <c r="F174" i="14"/>
  <c r="C174" i="14"/>
  <c r="G174" i="14"/>
  <c r="C177" i="13"/>
  <c r="D177" i="13"/>
  <c r="H177" i="13"/>
  <c r="G177" i="13"/>
  <c r="F177" i="13"/>
  <c r="E177" i="13"/>
  <c r="A178" i="13" a="1"/>
  <c r="A178" i="13" s="1"/>
  <c r="B177" i="13"/>
  <c r="A176" i="14" l="1" a="1"/>
  <c r="A176" i="14" s="1"/>
  <c r="E175" i="14"/>
  <c r="B175" i="14"/>
  <c r="F175" i="14"/>
  <c r="C175" i="14"/>
  <c r="G175" i="14"/>
  <c r="D175" i="14"/>
  <c r="H175" i="14"/>
  <c r="C178" i="13"/>
  <c r="G178" i="13"/>
  <c r="D178" i="13"/>
  <c r="H178" i="13"/>
  <c r="E178" i="13"/>
  <c r="F178" i="13"/>
  <c r="A179" i="13" a="1"/>
  <c r="A179" i="13" s="1"/>
  <c r="B178" i="13"/>
  <c r="A177" i="14" l="1" a="1"/>
  <c r="A177" i="14" s="1"/>
  <c r="B176" i="14"/>
  <c r="F176" i="14"/>
  <c r="C176" i="14"/>
  <c r="G176" i="14"/>
  <c r="D176" i="14"/>
  <c r="H176" i="14"/>
  <c r="E176" i="14"/>
  <c r="C179" i="13"/>
  <c r="F179" i="13"/>
  <c r="D179" i="13"/>
  <c r="H179" i="13"/>
  <c r="E179" i="13"/>
  <c r="G179" i="13"/>
  <c r="A180" i="13" a="1"/>
  <c r="A180" i="13" s="1"/>
  <c r="B179" i="13"/>
  <c r="A178" i="14" l="1" a="1"/>
  <c r="A178" i="14" s="1"/>
  <c r="C177" i="14"/>
  <c r="G177" i="14"/>
  <c r="D177" i="14"/>
  <c r="H177" i="14"/>
  <c r="E177" i="14"/>
  <c r="F177" i="14"/>
  <c r="B177" i="14"/>
  <c r="C180" i="13"/>
  <c r="E180" i="13"/>
  <c r="D180" i="13"/>
  <c r="H180" i="13"/>
  <c r="F180" i="13"/>
  <c r="G180" i="13"/>
  <c r="A181" i="13" a="1"/>
  <c r="A181" i="13" s="1"/>
  <c r="B180" i="13"/>
  <c r="A179" i="14" l="1" a="1"/>
  <c r="A179" i="14" s="1"/>
  <c r="D178" i="14"/>
  <c r="H178" i="14"/>
  <c r="E178" i="14"/>
  <c r="F178" i="14"/>
  <c r="B178" i="14"/>
  <c r="G178" i="14"/>
  <c r="C178" i="14"/>
  <c r="D181" i="13"/>
  <c r="H181" i="13"/>
  <c r="E181" i="13"/>
  <c r="C181" i="13"/>
  <c r="G181" i="13"/>
  <c r="F181" i="13"/>
  <c r="A182" i="13" a="1"/>
  <c r="A182" i="13" s="1"/>
  <c r="B181" i="13"/>
  <c r="A180" i="14" l="1" a="1"/>
  <c r="A180" i="14" s="1"/>
  <c r="E179" i="14"/>
  <c r="B179" i="14"/>
  <c r="F179" i="14"/>
  <c r="G179" i="14"/>
  <c r="C179" i="14"/>
  <c r="H179" i="14"/>
  <c r="D179" i="14"/>
  <c r="C182" i="13"/>
  <c r="G182" i="13"/>
  <c r="E182" i="13"/>
  <c r="D182" i="13"/>
  <c r="F182" i="13"/>
  <c r="H182" i="13"/>
  <c r="A183" i="13" a="1"/>
  <c r="A183" i="13" s="1"/>
  <c r="B182" i="13"/>
  <c r="A181" i="14" l="1" a="1"/>
  <c r="A181" i="14" s="1"/>
  <c r="B180" i="14"/>
  <c r="F180" i="14"/>
  <c r="C180" i="14"/>
  <c r="G180" i="14"/>
  <c r="H180" i="14"/>
  <c r="D180" i="14"/>
  <c r="E180" i="14"/>
  <c r="F183" i="13"/>
  <c r="C183" i="13"/>
  <c r="E183" i="13"/>
  <c r="D183" i="13"/>
  <c r="G183" i="13"/>
  <c r="H183" i="13"/>
  <c r="A184" i="13" a="1"/>
  <c r="A184" i="13" s="1"/>
  <c r="B183" i="13"/>
  <c r="A182" i="14" l="1" a="1"/>
  <c r="A182" i="14" s="1"/>
  <c r="C181" i="14"/>
  <c r="G181" i="14"/>
  <c r="D181" i="14"/>
  <c r="H181" i="14"/>
  <c r="E181" i="14"/>
  <c r="B181" i="14"/>
  <c r="F181" i="14"/>
  <c r="C184" i="13"/>
  <c r="E184" i="13"/>
  <c r="F184" i="13"/>
  <c r="D184" i="13"/>
  <c r="G184" i="13"/>
  <c r="H184" i="13"/>
  <c r="A185" i="13" a="1"/>
  <c r="A185" i="13" s="1"/>
  <c r="B184" i="13"/>
  <c r="A183" i="14" l="1" a="1"/>
  <c r="A183" i="14" s="1"/>
  <c r="D182" i="14"/>
  <c r="H182" i="14"/>
  <c r="E182" i="14"/>
  <c r="B182" i="14"/>
  <c r="F182" i="14"/>
  <c r="C182" i="14"/>
  <c r="G182" i="14"/>
  <c r="C185" i="13"/>
  <c r="D185" i="13"/>
  <c r="H185" i="13"/>
  <c r="F185" i="13"/>
  <c r="E185" i="13"/>
  <c r="G185" i="13"/>
  <c r="A186" i="13" a="1"/>
  <c r="A186" i="13" s="1"/>
  <c r="B185" i="13"/>
  <c r="A184" i="14" l="1" a="1"/>
  <c r="A184" i="14" s="1"/>
  <c r="E183" i="14"/>
  <c r="B183" i="14"/>
  <c r="F183" i="14"/>
  <c r="C183" i="14"/>
  <c r="G183" i="14"/>
  <c r="D183" i="14"/>
  <c r="H183" i="14"/>
  <c r="C186" i="13"/>
  <c r="G186" i="13"/>
  <c r="F186" i="13"/>
  <c r="E186" i="13"/>
  <c r="H186" i="13"/>
  <c r="D186" i="13"/>
  <c r="A187" i="13" a="1"/>
  <c r="A187" i="13" s="1"/>
  <c r="B186" i="13"/>
  <c r="A185" i="14" l="1" a="1"/>
  <c r="A185" i="14" s="1"/>
  <c r="B184" i="14"/>
  <c r="F184" i="14"/>
  <c r="C184" i="14"/>
  <c r="G184" i="14"/>
  <c r="D184" i="14"/>
  <c r="H184" i="14"/>
  <c r="E184" i="14"/>
  <c r="C187" i="13"/>
  <c r="F187" i="13"/>
  <c r="G187" i="13"/>
  <c r="E187" i="13"/>
  <c r="H187" i="13"/>
  <c r="D187" i="13"/>
  <c r="A188" i="13" a="1"/>
  <c r="A188" i="13" s="1"/>
  <c r="B187" i="13"/>
  <c r="A186" i="14" l="1" a="1"/>
  <c r="A186" i="14" s="1"/>
  <c r="C185" i="14"/>
  <c r="G185" i="14"/>
  <c r="D185" i="14"/>
  <c r="H185" i="14"/>
  <c r="E185" i="14"/>
  <c r="F185" i="14"/>
  <c r="B185" i="14"/>
  <c r="C188" i="13"/>
  <c r="E188" i="13"/>
  <c r="G188" i="13"/>
  <c r="F188" i="13"/>
  <c r="H188" i="13"/>
  <c r="D188" i="13"/>
  <c r="A189" i="13" a="1"/>
  <c r="A189" i="13" s="1"/>
  <c r="B188" i="13"/>
  <c r="A187" i="14" l="1" a="1"/>
  <c r="A187" i="14" s="1"/>
  <c r="D186" i="14"/>
  <c r="H186" i="14"/>
  <c r="E186" i="14"/>
  <c r="F186" i="14"/>
  <c r="B186" i="14"/>
  <c r="G186" i="14"/>
  <c r="C186" i="14"/>
  <c r="C189" i="13"/>
  <c r="D189" i="13"/>
  <c r="H189" i="13"/>
  <c r="G189" i="13"/>
  <c r="F189" i="13"/>
  <c r="E189" i="13"/>
  <c r="A190" i="13" a="1"/>
  <c r="A190" i="13" s="1"/>
  <c r="B189" i="13"/>
  <c r="A188" i="14" l="1" a="1"/>
  <c r="A188" i="14" s="1"/>
  <c r="E187" i="14"/>
  <c r="B187" i="14"/>
  <c r="F187" i="14"/>
  <c r="G187" i="14"/>
  <c r="C187" i="14"/>
  <c r="H187" i="14"/>
  <c r="D187" i="14"/>
  <c r="C190" i="13"/>
  <c r="G190" i="13"/>
  <c r="H190" i="13"/>
  <c r="F190" i="13"/>
  <c r="D190" i="13"/>
  <c r="E190" i="13"/>
  <c r="A191" i="13" a="1"/>
  <c r="A191" i="13" s="1"/>
  <c r="B190" i="13"/>
  <c r="A189" i="14" l="1" a="1"/>
  <c r="A189" i="14" s="1"/>
  <c r="B188" i="14"/>
  <c r="F188" i="14"/>
  <c r="C188" i="14"/>
  <c r="G188" i="14"/>
  <c r="H188" i="14"/>
  <c r="D188" i="14"/>
  <c r="E188" i="14"/>
  <c r="C191" i="13"/>
  <c r="F191" i="13"/>
  <c r="H191" i="13"/>
  <c r="G191" i="13"/>
  <c r="D191" i="13"/>
  <c r="E191" i="13"/>
  <c r="A192" i="13" a="1"/>
  <c r="A192" i="13" s="1"/>
  <c r="B191" i="13"/>
  <c r="A190" i="14" l="1" a="1"/>
  <c r="A190" i="14" s="1"/>
  <c r="C189" i="14"/>
  <c r="G189" i="14"/>
  <c r="D189" i="14"/>
  <c r="H189" i="14"/>
  <c r="E189" i="14"/>
  <c r="B189" i="14"/>
  <c r="F189" i="14"/>
  <c r="E192" i="13"/>
  <c r="H192" i="13"/>
  <c r="G192" i="13"/>
  <c r="C192" i="13"/>
  <c r="D192" i="13"/>
  <c r="F192" i="13"/>
  <c r="A193" i="13" a="1"/>
  <c r="A193" i="13" s="1"/>
  <c r="B192" i="13"/>
  <c r="A191" i="14" l="1" a="1"/>
  <c r="A191" i="14" s="1"/>
  <c r="D190" i="14"/>
  <c r="H190" i="14"/>
  <c r="E190" i="14"/>
  <c r="B190" i="14"/>
  <c r="F190" i="14"/>
  <c r="C190" i="14"/>
  <c r="G190" i="14"/>
  <c r="D193" i="13"/>
  <c r="H193" i="13"/>
  <c r="G193" i="13"/>
  <c r="E193" i="13"/>
  <c r="F193" i="13"/>
  <c r="C193" i="13"/>
  <c r="A194" i="13" a="1"/>
  <c r="A194" i="13" s="1"/>
  <c r="B193" i="13"/>
  <c r="A192" i="14" l="1" a="1"/>
  <c r="A192" i="14" s="1"/>
  <c r="E191" i="14"/>
  <c r="B191" i="14"/>
  <c r="F191" i="14"/>
  <c r="C191" i="14"/>
  <c r="G191" i="14"/>
  <c r="D191" i="14"/>
  <c r="H191" i="14"/>
  <c r="C194" i="13"/>
  <c r="G194" i="13"/>
  <c r="D194" i="13"/>
  <c r="H194" i="13"/>
  <c r="F194" i="13"/>
  <c r="E194" i="13"/>
  <c r="A195" i="13" a="1"/>
  <c r="A195" i="13" s="1"/>
  <c r="B194" i="13"/>
  <c r="A193" i="14" l="1" a="1"/>
  <c r="A193" i="14" s="1"/>
  <c r="B192" i="14"/>
  <c r="F192" i="14"/>
  <c r="C192" i="14"/>
  <c r="G192" i="14"/>
  <c r="D192" i="14"/>
  <c r="H192" i="14"/>
  <c r="E192" i="14"/>
  <c r="C195" i="13"/>
  <c r="F195" i="13"/>
  <c r="D195" i="13"/>
  <c r="H195" i="13"/>
  <c r="E195" i="13"/>
  <c r="G195" i="13"/>
  <c r="A196" i="13" a="1"/>
  <c r="A196" i="13" s="1"/>
  <c r="B195" i="13"/>
  <c r="A194" i="14" l="1" a="1"/>
  <c r="A194" i="14" s="1"/>
  <c r="D193" i="14"/>
  <c r="H193" i="14"/>
  <c r="C193" i="14"/>
  <c r="F193" i="14"/>
  <c r="E193" i="14"/>
  <c r="B193" i="14"/>
  <c r="G193" i="14"/>
  <c r="C196" i="13"/>
  <c r="E196" i="13"/>
  <c r="D196" i="13"/>
  <c r="H196" i="13"/>
  <c r="F196" i="13"/>
  <c r="G196" i="13"/>
  <c r="A197" i="13" a="1"/>
  <c r="A197" i="13" s="1"/>
  <c r="B196" i="13"/>
  <c r="A195" i="14" l="1" a="1"/>
  <c r="A195" i="14" s="1"/>
  <c r="E194" i="14"/>
  <c r="B194" i="14"/>
  <c r="G194" i="14"/>
  <c r="D194" i="14"/>
  <c r="C194" i="14"/>
  <c r="H194" i="14"/>
  <c r="F194" i="14"/>
  <c r="C197" i="13"/>
  <c r="D197" i="13"/>
  <c r="H197" i="13"/>
  <c r="E197" i="13"/>
  <c r="F197" i="13"/>
  <c r="G197" i="13"/>
  <c r="A198" i="13" a="1"/>
  <c r="A198" i="13" s="1"/>
  <c r="B197" i="13"/>
  <c r="A196" i="14" l="1" a="1"/>
  <c r="A196" i="14" s="1"/>
  <c r="B195" i="14"/>
  <c r="F195" i="14"/>
  <c r="E195" i="14"/>
  <c r="C195" i="14"/>
  <c r="H195" i="14"/>
  <c r="G195" i="14"/>
  <c r="D195" i="14"/>
  <c r="C198" i="13"/>
  <c r="G198" i="13"/>
  <c r="E198" i="13"/>
  <c r="D198" i="13"/>
  <c r="H198" i="13"/>
  <c r="F198" i="13"/>
  <c r="A199" i="13" a="1"/>
  <c r="A199" i="13" s="1"/>
  <c r="B198" i="13"/>
  <c r="A197" i="14" l="1" a="1"/>
  <c r="A197" i="14" s="1"/>
  <c r="C196" i="14"/>
  <c r="G196" i="14"/>
  <c r="D196" i="14"/>
  <c r="F196" i="14"/>
  <c r="E196" i="14"/>
  <c r="B196" i="14"/>
  <c r="H196" i="14"/>
  <c r="C199" i="13"/>
  <c r="F199" i="13"/>
  <c r="E199" i="13"/>
  <c r="D199" i="13"/>
  <c r="G199" i="13"/>
  <c r="H199" i="13"/>
  <c r="A200" i="13" a="1"/>
  <c r="A200" i="13" s="1"/>
  <c r="B199" i="13"/>
  <c r="A198" i="14" l="1" a="1"/>
  <c r="A198" i="14" s="1"/>
  <c r="D197" i="14"/>
  <c r="H197" i="14"/>
  <c r="B197" i="14"/>
  <c r="G197" i="14"/>
  <c r="E197" i="14"/>
  <c r="C197" i="14"/>
  <c r="F197" i="14"/>
  <c r="C200" i="13"/>
  <c r="E200" i="13"/>
  <c r="F200" i="13"/>
  <c r="D200" i="13"/>
  <c r="G200" i="13"/>
  <c r="H200" i="13"/>
  <c r="A201" i="13" a="1"/>
  <c r="A201" i="13" s="1"/>
  <c r="B200" i="13"/>
  <c r="A199" i="14" l="1" a="1"/>
  <c r="A199" i="14" s="1"/>
  <c r="E198" i="14"/>
  <c r="F198" i="14"/>
  <c r="C198" i="14"/>
  <c r="H198" i="14"/>
  <c r="B198" i="14"/>
  <c r="G198" i="14"/>
  <c r="D198" i="14"/>
  <c r="C201" i="13"/>
  <c r="D201" i="13"/>
  <c r="H201" i="13"/>
  <c r="F201" i="13"/>
  <c r="E201" i="13"/>
  <c r="G201" i="13"/>
  <c r="A202" i="13" a="1"/>
  <c r="A202" i="13" s="1"/>
  <c r="B201" i="13"/>
  <c r="A200" i="14" l="1" a="1"/>
  <c r="A200" i="14" s="1"/>
  <c r="B199" i="14"/>
  <c r="F199" i="14"/>
  <c r="D199" i="14"/>
  <c r="G199" i="14"/>
  <c r="E199" i="14"/>
  <c r="C199" i="14"/>
  <c r="H199" i="14"/>
  <c r="C202" i="13"/>
  <c r="G202" i="13"/>
  <c r="F202" i="13"/>
  <c r="E202" i="13"/>
  <c r="D202" i="13"/>
  <c r="H202" i="13"/>
  <c r="A203" i="13" a="1"/>
  <c r="A203" i="13" s="1"/>
  <c r="B202" i="13"/>
  <c r="A201" i="14" l="1" a="1"/>
  <c r="A201" i="14" s="1"/>
  <c r="C200" i="14"/>
  <c r="G200" i="14"/>
  <c r="B200" i="14"/>
  <c r="H200" i="14"/>
  <c r="E200" i="14"/>
  <c r="D200" i="14"/>
  <c r="F200" i="14"/>
  <c r="F203" i="13"/>
  <c r="G203" i="13"/>
  <c r="C203" i="13"/>
  <c r="E203" i="13"/>
  <c r="H203" i="13"/>
  <c r="D203" i="13"/>
  <c r="A204" i="13" a="1"/>
  <c r="A204" i="13" s="1"/>
  <c r="B203" i="13"/>
  <c r="A202" i="14" l="1" a="1"/>
  <c r="A202" i="14" s="1"/>
  <c r="D201" i="14"/>
  <c r="H201" i="14"/>
  <c r="F201" i="14"/>
  <c r="C201" i="14"/>
  <c r="B201" i="14"/>
  <c r="G201" i="14"/>
  <c r="E201" i="14"/>
  <c r="E204" i="13"/>
  <c r="C204" i="13"/>
  <c r="G204" i="13"/>
  <c r="F204" i="13"/>
  <c r="H204" i="13"/>
  <c r="D204" i="13"/>
  <c r="A205" i="13" a="1"/>
  <c r="A205" i="13" s="1"/>
  <c r="B204" i="13"/>
  <c r="A203" i="14" l="1" a="1"/>
  <c r="A203" i="14" s="1"/>
  <c r="E202" i="14"/>
  <c r="D202" i="14"/>
  <c r="B202" i="14"/>
  <c r="G202" i="14"/>
  <c r="F202" i="14"/>
  <c r="C202" i="14"/>
  <c r="H202" i="14"/>
  <c r="C205" i="13"/>
  <c r="D205" i="13"/>
  <c r="H205" i="13"/>
  <c r="G205" i="13"/>
  <c r="F205" i="13"/>
  <c r="E205" i="13"/>
  <c r="A206" i="13" a="1"/>
  <c r="A206" i="13" s="1"/>
  <c r="B205" i="13"/>
  <c r="A204" i="14" l="1" a="1"/>
  <c r="A204" i="14" s="1"/>
  <c r="B203" i="14"/>
  <c r="F203" i="14"/>
  <c r="C203" i="14"/>
  <c r="H203" i="14"/>
  <c r="E203" i="14"/>
  <c r="D203" i="14"/>
  <c r="G203" i="14"/>
  <c r="C206" i="13"/>
  <c r="G206" i="13"/>
  <c r="H206" i="13"/>
  <c r="F206" i="13"/>
  <c r="D206" i="13"/>
  <c r="E206" i="13"/>
  <c r="A207" i="13" a="1"/>
  <c r="A207" i="13" s="1"/>
  <c r="B206" i="13"/>
  <c r="A205" i="14" l="1" a="1"/>
  <c r="A205" i="14" s="1"/>
  <c r="C204" i="14"/>
  <c r="G204" i="14"/>
  <c r="F204" i="14"/>
  <c r="D204" i="14"/>
  <c r="B204" i="14"/>
  <c r="H204" i="14"/>
  <c r="E204" i="14"/>
  <c r="C207" i="13"/>
  <c r="F207" i="13"/>
  <c r="H207" i="13"/>
  <c r="G207" i="13"/>
  <c r="D207" i="13"/>
  <c r="E207" i="13"/>
  <c r="A208" i="13" a="1"/>
  <c r="A208" i="13" s="1"/>
  <c r="B207" i="13"/>
  <c r="A206" i="14" l="1" a="1"/>
  <c r="A206" i="14" s="1"/>
  <c r="D205" i="14"/>
  <c r="H205" i="14"/>
  <c r="E205" i="14"/>
  <c r="B205" i="14"/>
  <c r="G205" i="14"/>
  <c r="F205" i="14"/>
  <c r="C205" i="14"/>
  <c r="C208" i="13"/>
  <c r="E208" i="13"/>
  <c r="H208" i="13"/>
  <c r="G208" i="13"/>
  <c r="D208" i="13"/>
  <c r="F208" i="13"/>
  <c r="A209" i="13" a="1"/>
  <c r="A209" i="13" s="1"/>
  <c r="B208" i="13"/>
  <c r="A207" i="14" l="1" a="1"/>
  <c r="A207" i="14" s="1"/>
  <c r="E206" i="14"/>
  <c r="C206" i="14"/>
  <c r="H206" i="14"/>
  <c r="F206" i="14"/>
  <c r="D206" i="14"/>
  <c r="B206" i="14"/>
  <c r="G206" i="14"/>
  <c r="C209" i="13"/>
  <c r="D209" i="13"/>
  <c r="H209" i="13"/>
  <c r="G209" i="13"/>
  <c r="E209" i="13"/>
  <c r="F209" i="13"/>
  <c r="A210" i="13" a="1"/>
  <c r="A210" i="13" s="1"/>
  <c r="B209" i="13"/>
  <c r="A208" i="14" l="1" a="1"/>
  <c r="A208" i="14" s="1"/>
  <c r="B207" i="14"/>
  <c r="F207" i="14"/>
  <c r="G207" i="14"/>
  <c r="D207" i="14"/>
  <c r="C207" i="14"/>
  <c r="H207" i="14"/>
  <c r="E207" i="14"/>
  <c r="C210" i="13"/>
  <c r="G210" i="13"/>
  <c r="D210" i="13"/>
  <c r="H210" i="13"/>
  <c r="E210" i="13"/>
  <c r="F210" i="13"/>
  <c r="A211" i="13" a="1"/>
  <c r="A211" i="13" s="1"/>
  <c r="B210" i="13"/>
  <c r="A209" i="14" l="1" a="1"/>
  <c r="A209" i="14" s="1"/>
  <c r="C208" i="14"/>
  <c r="G208" i="14"/>
  <c r="E208" i="14"/>
  <c r="B208" i="14"/>
  <c r="H208" i="14"/>
  <c r="F208" i="14"/>
  <c r="D208" i="14"/>
  <c r="C211" i="13"/>
  <c r="F211" i="13"/>
  <c r="D211" i="13"/>
  <c r="H211" i="13"/>
  <c r="G211" i="13"/>
  <c r="E211" i="13"/>
  <c r="A212" i="13" a="1"/>
  <c r="A212" i="13" s="1"/>
  <c r="B211" i="13"/>
  <c r="A210" i="14" l="1" a="1"/>
  <c r="A210" i="14" s="1"/>
  <c r="D209" i="14"/>
  <c r="H209" i="14"/>
  <c r="C209" i="14"/>
  <c r="F209" i="14"/>
  <c r="E209" i="14"/>
  <c r="B209" i="14"/>
  <c r="G209" i="14"/>
  <c r="C212" i="13"/>
  <c r="E212" i="13"/>
  <c r="D212" i="13"/>
  <c r="H212" i="13"/>
  <c r="F212" i="13"/>
  <c r="G212" i="13"/>
  <c r="A213" i="13" a="1"/>
  <c r="A213" i="13" s="1"/>
  <c r="B212" i="13"/>
  <c r="A211" i="14" l="1" a="1"/>
  <c r="A211" i="14" s="1"/>
  <c r="E210" i="14"/>
  <c r="B210" i="14"/>
  <c r="G210" i="14"/>
  <c r="D210" i="14"/>
  <c r="C210" i="14"/>
  <c r="H210" i="14"/>
  <c r="F210" i="14"/>
  <c r="D213" i="13"/>
  <c r="H213" i="13"/>
  <c r="E213" i="13"/>
  <c r="C213" i="13"/>
  <c r="F213" i="13"/>
  <c r="G213" i="13"/>
  <c r="A214" i="13" a="1"/>
  <c r="A214" i="13" s="1"/>
  <c r="B213" i="13"/>
  <c r="A212" i="14" l="1" a="1"/>
  <c r="A212" i="14" s="1"/>
  <c r="B211" i="14"/>
  <c r="F211" i="14"/>
  <c r="E211" i="14"/>
  <c r="C211" i="14"/>
  <c r="H211" i="14"/>
  <c r="G211" i="14"/>
  <c r="D211" i="14"/>
  <c r="C214" i="13"/>
  <c r="G214" i="13"/>
  <c r="E214" i="13"/>
  <c r="D214" i="13"/>
  <c r="F214" i="13"/>
  <c r="H214" i="13"/>
  <c r="A215" i="13" a="1"/>
  <c r="A215" i="13" s="1"/>
  <c r="B214" i="13"/>
  <c r="A213" i="14" l="1" a="1"/>
  <c r="A213" i="14" s="1"/>
  <c r="C212" i="14"/>
  <c r="G212" i="14"/>
  <c r="D212" i="14"/>
  <c r="F212" i="14"/>
  <c r="E212" i="14"/>
  <c r="B212" i="14"/>
  <c r="H212" i="14"/>
  <c r="F215" i="13"/>
  <c r="E215" i="13"/>
  <c r="D215" i="13"/>
  <c r="C215" i="13"/>
  <c r="H215" i="13"/>
  <c r="G215" i="13"/>
  <c r="A216" i="13" a="1"/>
  <c r="A216" i="13" s="1"/>
  <c r="B215" i="13"/>
  <c r="A214" i="14" l="1" a="1"/>
  <c r="A214" i="14" s="1"/>
  <c r="D213" i="14"/>
  <c r="H213" i="14"/>
  <c r="B213" i="14"/>
  <c r="G213" i="14"/>
  <c r="E213" i="14"/>
  <c r="C213" i="14"/>
  <c r="F213" i="14"/>
  <c r="C216" i="13"/>
  <c r="E216" i="13"/>
  <c r="F216" i="13"/>
  <c r="D216" i="13"/>
  <c r="G216" i="13"/>
  <c r="H216" i="13"/>
  <c r="A217" i="13" a="1"/>
  <c r="A217" i="13" s="1"/>
  <c r="B216" i="13"/>
  <c r="A215" i="14" l="1" a="1"/>
  <c r="A215" i="14" s="1"/>
  <c r="E214" i="14"/>
  <c r="F214" i="14"/>
  <c r="C214" i="14"/>
  <c r="H214" i="14"/>
  <c r="B214" i="14"/>
  <c r="G214" i="14"/>
  <c r="D214" i="14"/>
  <c r="C217" i="13"/>
  <c r="D217" i="13"/>
  <c r="H217" i="13"/>
  <c r="F217" i="13"/>
  <c r="E217" i="13"/>
  <c r="G217" i="13"/>
  <c r="A218" i="13" a="1"/>
  <c r="A218" i="13" s="1"/>
  <c r="B217" i="13"/>
  <c r="A216" i="14" l="1" a="1"/>
  <c r="A216" i="14" s="1"/>
  <c r="B215" i="14"/>
  <c r="F215" i="14"/>
  <c r="D215" i="14"/>
  <c r="G215" i="14"/>
  <c r="E215" i="14"/>
  <c r="C215" i="14"/>
  <c r="H215" i="14"/>
  <c r="C218" i="13"/>
  <c r="G218" i="13"/>
  <c r="F218" i="13"/>
  <c r="E218" i="13"/>
  <c r="H218" i="13"/>
  <c r="D218" i="13"/>
  <c r="A219" i="13" a="1"/>
  <c r="A219" i="13" s="1"/>
  <c r="B218" i="13"/>
  <c r="A217" i="14" l="1" a="1"/>
  <c r="A217" i="14" s="1"/>
  <c r="C216" i="14"/>
  <c r="G216" i="14"/>
  <c r="B216" i="14"/>
  <c r="H216" i="14"/>
  <c r="E216" i="14"/>
  <c r="D216" i="14"/>
  <c r="F216" i="14"/>
  <c r="C219" i="13"/>
  <c r="F219" i="13"/>
  <c r="G219" i="13"/>
  <c r="E219" i="13"/>
  <c r="D219" i="13"/>
  <c r="H219" i="13"/>
  <c r="A220" i="13" a="1"/>
  <c r="A220" i="13" s="1"/>
  <c r="B219" i="13"/>
  <c r="A218" i="14" l="1" a="1"/>
  <c r="A218" i="14" s="1"/>
  <c r="D217" i="14"/>
  <c r="H217" i="14"/>
  <c r="F217" i="14"/>
  <c r="C217" i="14"/>
  <c r="B217" i="14"/>
  <c r="G217" i="14"/>
  <c r="E217" i="14"/>
  <c r="C220" i="13"/>
  <c r="E220" i="13"/>
  <c r="G220" i="13"/>
  <c r="F220" i="13"/>
  <c r="H220" i="13"/>
  <c r="D220" i="13"/>
  <c r="A221" i="13" a="1"/>
  <c r="A221" i="13" s="1"/>
  <c r="B220" i="13"/>
  <c r="A219" i="14" l="1" a="1"/>
  <c r="A219" i="14" s="1"/>
  <c r="E218" i="14"/>
  <c r="D218" i="14"/>
  <c r="B218" i="14"/>
  <c r="G218" i="14"/>
  <c r="F218" i="14"/>
  <c r="C218" i="14"/>
  <c r="H218" i="14"/>
  <c r="C221" i="13"/>
  <c r="D221" i="13"/>
  <c r="H221" i="13"/>
  <c r="G221" i="13"/>
  <c r="F221" i="13"/>
  <c r="E221" i="13"/>
  <c r="A222" i="13" a="1"/>
  <c r="A222" i="13" s="1"/>
  <c r="B221" i="13"/>
  <c r="A220" i="14" l="1" a="1"/>
  <c r="A220" i="14" s="1"/>
  <c r="B219" i="14"/>
  <c r="F219" i="14"/>
  <c r="C219" i="14"/>
  <c r="H219" i="14"/>
  <c r="E219" i="14"/>
  <c r="D219" i="14"/>
  <c r="G219" i="14"/>
  <c r="C222" i="13"/>
  <c r="G222" i="13"/>
  <c r="H222" i="13"/>
  <c r="F222" i="13"/>
  <c r="D222" i="13"/>
  <c r="E222" i="13"/>
  <c r="A223" i="13" a="1"/>
  <c r="A223" i="13" s="1"/>
  <c r="B222" i="13"/>
  <c r="A221" i="14" l="1" a="1"/>
  <c r="A221" i="14" s="1"/>
  <c r="C220" i="14"/>
  <c r="G220" i="14"/>
  <c r="F220" i="14"/>
  <c r="D220" i="14"/>
  <c r="B220" i="14"/>
  <c r="H220" i="14"/>
  <c r="E220" i="14"/>
  <c r="C223" i="13"/>
  <c r="F223" i="13"/>
  <c r="G223" i="13"/>
  <c r="D223" i="13"/>
  <c r="E223" i="13"/>
  <c r="H223" i="13"/>
  <c r="A224" i="13" a="1"/>
  <c r="A224" i="13" s="1"/>
  <c r="B223" i="13"/>
  <c r="A222" i="14" l="1" a="1"/>
  <c r="A222" i="14" s="1"/>
  <c r="D221" i="14"/>
  <c r="H221" i="14"/>
  <c r="E221" i="14"/>
  <c r="B221" i="14"/>
  <c r="G221" i="14"/>
  <c r="F221" i="14"/>
  <c r="C221" i="14"/>
  <c r="E224" i="13"/>
  <c r="C224" i="13"/>
  <c r="G224" i="13"/>
  <c r="H224" i="13"/>
  <c r="D224" i="13"/>
  <c r="F224" i="13"/>
  <c r="A225" i="13" a="1"/>
  <c r="A225" i="13" s="1"/>
  <c r="B224" i="13"/>
  <c r="A223" i="14" l="1" a="1"/>
  <c r="A223" i="14" s="1"/>
  <c r="E222" i="14"/>
  <c r="C222" i="14"/>
  <c r="H222" i="14"/>
  <c r="F222" i="14"/>
  <c r="D222" i="14"/>
  <c r="B222" i="14"/>
  <c r="G222" i="14"/>
  <c r="D225" i="13"/>
  <c r="H225" i="13"/>
  <c r="C225" i="13"/>
  <c r="G225" i="13"/>
  <c r="F225" i="13"/>
  <c r="E225" i="13"/>
  <c r="A226" i="13" a="1"/>
  <c r="A226" i="13" s="1"/>
  <c r="B225" i="13"/>
  <c r="A224" i="14" l="1" a="1"/>
  <c r="A224" i="14" s="1"/>
  <c r="B223" i="14"/>
  <c r="F223" i="14"/>
  <c r="G223" i="14"/>
  <c r="D223" i="14"/>
  <c r="C223" i="14"/>
  <c r="H223" i="14"/>
  <c r="E223" i="14"/>
  <c r="C226" i="13"/>
  <c r="G226" i="13"/>
  <c r="H226" i="13"/>
  <c r="E226" i="13"/>
  <c r="F226" i="13"/>
  <c r="D226" i="13"/>
  <c r="A227" i="13" a="1"/>
  <c r="A227" i="13" s="1"/>
  <c r="B226" i="13"/>
  <c r="A225" i="14" l="1" a="1"/>
  <c r="A225" i="14" s="1"/>
  <c r="C224" i="14"/>
  <c r="G224" i="14"/>
  <c r="E224" i="14"/>
  <c r="B224" i="14"/>
  <c r="H224" i="14"/>
  <c r="F224" i="14"/>
  <c r="D224" i="14"/>
  <c r="C227" i="13"/>
  <c r="F227" i="13"/>
  <c r="H227" i="13"/>
  <c r="G227" i="13"/>
  <c r="D227" i="13"/>
  <c r="E227" i="13"/>
  <c r="A228" i="13" a="1"/>
  <c r="A228" i="13" s="1"/>
  <c r="B227" i="13"/>
  <c r="A226" i="14" l="1" a="1"/>
  <c r="A226" i="14" s="1"/>
  <c r="D225" i="14"/>
  <c r="H225" i="14"/>
  <c r="C225" i="14"/>
  <c r="F225" i="14"/>
  <c r="E225" i="14"/>
  <c r="B225" i="14"/>
  <c r="G225" i="14"/>
  <c r="C228" i="13"/>
  <c r="E228" i="13"/>
  <c r="H228" i="13"/>
  <c r="F228" i="13"/>
  <c r="D228" i="13"/>
  <c r="G228" i="13"/>
  <c r="A229" i="13" a="1"/>
  <c r="A229" i="13" s="1"/>
  <c r="B228" i="13"/>
  <c r="A227" i="14" l="1" a="1"/>
  <c r="A227" i="14" s="1"/>
  <c r="E226" i="14"/>
  <c r="B226" i="14"/>
  <c r="G226" i="14"/>
  <c r="D226" i="14"/>
  <c r="C226" i="14"/>
  <c r="H226" i="14"/>
  <c r="F226" i="14"/>
  <c r="C229" i="13"/>
  <c r="D229" i="13"/>
  <c r="H229" i="13"/>
  <c r="E229" i="13"/>
  <c r="F229" i="13"/>
  <c r="G229" i="13"/>
  <c r="A230" i="13" a="1"/>
  <c r="A230" i="13" s="1"/>
  <c r="B229" i="13"/>
  <c r="A228" i="14" l="1" a="1"/>
  <c r="A228" i="14" s="1"/>
  <c r="B227" i="14"/>
  <c r="F227" i="14"/>
  <c r="E227" i="14"/>
  <c r="C227" i="14"/>
  <c r="H227" i="14"/>
  <c r="G227" i="14"/>
  <c r="D227" i="14"/>
  <c r="C230" i="13"/>
  <c r="G230" i="13"/>
  <c r="D230" i="13"/>
  <c r="F230" i="13"/>
  <c r="H230" i="13"/>
  <c r="E230" i="13"/>
  <c r="A231" i="13" a="1"/>
  <c r="A231" i="13" s="1"/>
  <c r="B230" i="13"/>
  <c r="A229" i="14" l="1" a="1"/>
  <c r="A229" i="14" s="1"/>
  <c r="C228" i="14"/>
  <c r="G228" i="14"/>
  <c r="D228" i="14"/>
  <c r="F228" i="14"/>
  <c r="E228" i="14"/>
  <c r="B228" i="14"/>
  <c r="H228" i="14"/>
  <c r="C231" i="13"/>
  <c r="F231" i="13"/>
  <c r="D231" i="13"/>
  <c r="H231" i="13"/>
  <c r="E231" i="13"/>
  <c r="G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<sst xmlns="http://schemas.openxmlformats.org/spreadsheetml/2006/main" count="3767" uniqueCount="1780">
  <si>
    <t>Closed LLFCs</t>
  </si>
  <si>
    <t>Geographical name</t>
  </si>
  <si>
    <t>Notes:</t>
  </si>
  <si>
    <t>Metered voltage, respective periods and associated LLFCs</t>
  </si>
  <si>
    <t>Period 1</t>
  </si>
  <si>
    <t>Period 2</t>
  </si>
  <si>
    <t>Period 3</t>
  </si>
  <si>
    <t>Period 4</t>
  </si>
  <si>
    <t>Associated LLFC</t>
  </si>
  <si>
    <t>Site</t>
  </si>
  <si>
    <t>Demand</t>
  </si>
  <si>
    <t>Generation</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</si>
  <si>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</si>
  <si>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</si>
  <si>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</si>
  <si>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</si>
  <si>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</si>
  <si>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</si>
  <si>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</si>
  <si>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</si>
  <si>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</si>
  <si>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</si>
  <si>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</si>
  <si>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</si>
  <si>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</si>
  <si>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</si>
  <si>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</si>
  <si>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</si>
  <si>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</si>
  <si>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</si>
  <si>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</si>
  <si>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</si>
  <si>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</si>
  <si>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</si>
  <si>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</si>
  <si>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</si>
  <si>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</si>
  <si>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</si>
  <si>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</si>
  <si>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</si>
  <si>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</si>
  <si>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</si>
  <si>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</si>
  <si>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</si>
  <si>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</si>
  <si>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</si>
  <si>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</si>
  <si>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</si>
  <si>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</si>
  <si>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</si>
  <si>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</si>
  <si>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</si>
  <si>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</si>
  <si>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</si>
  <si>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</si>
  <si>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</si>
  <si>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</si>
  <si>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</si>
  <si>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</si>
  <si>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</si>
  <si>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</si>
  <si>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</si>
  <si>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</si>
  <si>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</si>
  <si>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</si>
  <si>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</si>
  <si>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</si>
  <si>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</si>
  <si>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</si>
  <si>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</si>
  <si>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</si>
  <si>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</si>
  <si>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</si>
  <si>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</si>
  <si>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</si>
  <si>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</si>
  <si>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</si>
  <si>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</si>
  <si>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</si>
  <si>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</si>
  <si>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</si>
  <si>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</si>
  <si>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</si>
  <si>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</si>
  <si>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</si>
  <si>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</si>
  <si>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</si>
  <si>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</si>
  <si>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</si>
  <si>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</si>
  <si>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</si>
  <si>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</si>
  <si>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</si>
  <si>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</si>
  <si>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</si>
  <si>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</si>
  <si>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</si>
  <si>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</si>
  <si>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</si>
  <si>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</si>
  <si>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</si>
  <si>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</si>
  <si>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</si>
  <si>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</si>
  <si>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</si>
  <si>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</si>
  <si>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</si>
  <si>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</si>
  <si>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r>
      <t>Contains the underlying [</t>
    </r>
    <r>
      <rPr>
        <sz val="11"/>
        <color theme="3"/>
        <rFont val="Arial"/>
        <family val="2"/>
      </rPr>
      <t>nodal/network group</t>
    </r>
    <r>
      <rPr>
        <sz val="11"/>
        <rFont val="Arial"/>
        <family val="2"/>
      </rPr>
      <t xml:space="preserve">] costs used to calculate the current EDCM charges. </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</si>
  <si>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</si>
  <si>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</si>
  <si>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</si>
  <si>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</si>
  <si>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</si>
  <si>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</si>
  <si>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</si>
  <si>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</si>
  <si>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</si>
  <si>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</si>
  <si>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</si>
  <si>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</si>
  <si>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</si>
  <si>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</si>
  <si>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</si>
  <si>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</si>
  <si>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</si>
  <si>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</si>
  <si>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</si>
  <si>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</si>
  <si>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</si>
  <si>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</si>
  <si>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</si>
  <si>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</si>
  <si>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</si>
  <si>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</si>
  <si>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</si>
  <si>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</si>
  <si>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</si>
  <si>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</si>
  <si>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</si>
  <si>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</si>
  <si>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</si>
  <si>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</si>
  <si>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</si>
  <si>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</si>
  <si>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</si>
  <si>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</si>
  <si>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</si>
  <si>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</si>
  <si>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</si>
  <si>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</si>
  <si>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</si>
  <si>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</si>
  <si>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</si>
  <si>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</si>
  <si>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</si>
  <si>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</si>
  <si>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</si>
  <si>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</si>
  <si>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</si>
  <si>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</si>
  <si>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</si>
  <si>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</si>
  <si>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</si>
  <si>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</si>
  <si>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</si>
  <si>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</si>
  <si>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</si>
  <si>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</si>
  <si>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</si>
  <si>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</si>
  <si>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</si>
  <si>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</si>
  <si>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</si>
  <si>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</si>
  <si>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</si>
  <si>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</si>
  <si>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</si>
  <si>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</si>
  <si>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</si>
  <si>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</si>
  <si>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</si>
  <si>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</si>
  <si>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</si>
  <si>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</si>
  <si>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</si>
  <si>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</si>
  <si>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</si>
  <si>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</si>
  <si>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</si>
  <si>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</si>
  <si>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</si>
  <si>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</si>
  <si>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</si>
  <si>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</si>
  <si>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</si>
  <si>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</si>
  <si>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</si>
  <si>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</si>
  <si>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</si>
  <si>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</si>
  <si>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</si>
  <si>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</si>
  <si>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</si>
  <si>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</si>
  <si>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</si>
  <si>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</si>
  <si>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</si>
  <si>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</si>
  <si>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</si>
  <si>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</si>
  <si>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</si>
  <si>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</si>
  <si>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</si>
  <si>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</si>
  <si>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</si>
  <si>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</si>
  <si>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</si>
  <si>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</si>
  <si>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</si>
  <si>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</si>
  <si>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</si>
  <si>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</si>
  <si>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</si>
  <si>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</si>
  <si>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</si>
  <si>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</si>
  <si>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</si>
  <si>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</si>
  <si>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</si>
  <si>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</si>
  <si>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</si>
  <si>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</si>
  <si>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</si>
  <si>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</si>
  <si>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</si>
  <si>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</si>
  <si>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</si>
  <si>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</si>
  <si>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</si>
  <si>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</si>
  <si>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</si>
  <si>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</si>
  <si>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</si>
  <si>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</si>
  <si>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</si>
  <si>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</si>
  <si>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</si>
  <si>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</si>
  <si>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</si>
  <si>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</si>
  <si>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</si>
  <si>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</si>
  <si>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</si>
  <si>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</si>
  <si>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</si>
  <si>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</si>
  <si>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</si>
  <si>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</si>
  <si>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</si>
  <si>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</si>
  <si>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</si>
  <si>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</si>
  <si>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</si>
  <si>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</si>
  <si>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</si>
  <si>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</si>
  <si>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</si>
  <si>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</si>
  <si>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</si>
  <si>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</si>
  <si>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</si>
  <si>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</si>
  <si>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</si>
  <si>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</si>
  <si>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</si>
  <si>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</si>
  <si>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</si>
  <si>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</si>
  <si>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</si>
  <si>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</si>
  <si>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</si>
  <si>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</si>
  <si>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</si>
  <si>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</si>
  <si>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</si>
  <si>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</si>
  <si>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</si>
  <si>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</si>
  <si>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</si>
  <si>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</si>
  <si>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</si>
  <si>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</si>
  <si>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</si>
  <si>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</si>
  <si>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</si>
  <si>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</si>
  <si>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</si>
  <si>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</si>
  <si>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</si>
  <si>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</si>
  <si>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</si>
  <si>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</si>
  <si>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</si>
  <si>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</si>
  <si>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</si>
  <si>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</si>
  <si>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</si>
  <si>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</si>
  <si>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</si>
  <si>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</si>
  <si>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</si>
  <si>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</si>
  <si>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</si>
  <si>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</si>
  <si>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</si>
  <si>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</si>
  <si>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</si>
  <si>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</si>
  <si>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</si>
  <si>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</si>
  <si>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</si>
  <si>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</si>
  <si>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</si>
  <si>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</si>
  <si>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</si>
  <si>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</si>
  <si>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</si>
  <si>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</si>
  <si>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</si>
  <si>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</si>
  <si>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</si>
  <si>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</si>
  <si>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</si>
  <si>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</si>
  <si>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</si>
  <si>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</si>
  <si>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</si>
  <si>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</si>
  <si>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</si>
  <si>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</si>
  <si>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</si>
  <si>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</si>
  <si>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</si>
  <si>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</si>
  <si>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</si>
  <si>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</si>
  <si>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</si>
  <si>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</si>
  <si>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</si>
  <si>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</si>
  <si>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</si>
  <si>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</si>
  <si>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</si>
  <si>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</si>
  <si>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</si>
  <si>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</si>
  <si>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</si>
  <si>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</si>
  <si>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</si>
  <si>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</si>
  <si>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</si>
  <si>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</si>
  <si>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</si>
  <si>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</si>
  <si>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</si>
  <si>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</si>
  <si>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</si>
  <si>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</si>
  <si>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</si>
  <si>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</si>
  <si>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</si>
  <si>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</si>
  <si>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</si>
  <si>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</si>
  <si>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</si>
  <si>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</si>
  <si>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</si>
  <si>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</si>
  <si>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</si>
  <si>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</si>
  <si>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</si>
  <si>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</si>
  <si>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</si>
  <si>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</si>
  <si>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</si>
  <si>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</si>
  <si>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</si>
  <si>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</si>
  <si>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</si>
  <si>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</si>
  <si>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</si>
  <si>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</si>
  <si>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</si>
  <si>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</si>
  <si>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</si>
  <si>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</si>
  <si>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</si>
  <si>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</si>
  <si>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</si>
  <si>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</si>
  <si>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</si>
  <si>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</si>
  <si>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</si>
  <si>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</si>
  <si>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</si>
  <si>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</si>
  <si>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</si>
  <si>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</si>
  <si>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</si>
  <si>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</si>
  <si>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</si>
  <si>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</si>
  <si>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</si>
  <si>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</si>
  <si>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</si>
  <si>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</si>
  <si>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</si>
  <si>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</si>
  <si>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</si>
  <si>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</si>
  <si>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</si>
  <si>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Open LLFCs / LDNO unique billing identifier</t>
  </si>
  <si>
    <t>LDNO LV: Domestic Aggregated</t>
  </si>
  <si>
    <t>LDNO LV: Domestic Aggregated (related MPAN)</t>
  </si>
  <si>
    <t>LDNO LV: Non-Domestic Aggregated</t>
  </si>
  <si>
    <t>LDNO LV: Non-Domestic Aggregated (related MPAN)</t>
  </si>
  <si>
    <t>LDNO LV: LV Site Specific</t>
  </si>
  <si>
    <t>LDNO LV: Unmetered Supplies</t>
  </si>
  <si>
    <t>LDNO LV: LV Generation Aggregated</t>
  </si>
  <si>
    <t>LDNO LV: LV Generation Site Specific</t>
  </si>
  <si>
    <t>LDNO HV: Domestic Aggregated</t>
  </si>
  <si>
    <t>LDNO HV: Domestic Aggregated (related MPAN)</t>
  </si>
  <si>
    <t>LDNO HV: Non-Domestic Aggregated</t>
  </si>
  <si>
    <t>LDNO HV: Non-Domestic Aggregated (related MPAN)</t>
  </si>
  <si>
    <t>LDNO HV: LV Site Specific</t>
  </si>
  <si>
    <t>LDNO HV: LV Sub Site Specific</t>
  </si>
  <si>
    <t>LDNO HV: HV Site Specific</t>
  </si>
  <si>
    <t>LDNO HV: Unmetered Supplies</t>
  </si>
  <si>
    <t>LDNO HV: LV Generation Aggregated</t>
  </si>
  <si>
    <t>LDNO HV: LV Sub Generation Aggregated</t>
  </si>
  <si>
    <t>LDNO HV: LV Generation Site Specific</t>
  </si>
  <si>
    <t>LDNO HV: LV Sub Generation Site Specific</t>
  </si>
  <si>
    <t>LDNO HV: HV Generation Site Specific</t>
  </si>
  <si>
    <t>LDNO HVplus: Domestic Aggregated</t>
  </si>
  <si>
    <t>LDNO HVplus: Domestic Aggregated (related MPAN)</t>
  </si>
  <si>
    <t>LDNO HVplus: Non-Domestic Aggregated</t>
  </si>
  <si>
    <t>LDNO HVplus: Non-Domestic Aggregated (related MPAN)</t>
  </si>
  <si>
    <t>LDNO HVplus: LV Site Specific</t>
  </si>
  <si>
    <t>LDNO HVplus: LV Sub Site Specific</t>
  </si>
  <si>
    <t>LDNO HVplus: HV Site Specific</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</si>
  <si>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</si>
  <si>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</si>
  <si>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</si>
  <si>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</si>
  <si>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</si>
  <si>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</si>
  <si>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Domestic Aggregated</t>
  </si>
  <si>
    <t>LDNO EHV: Domestic Aggregated (related MPAN)</t>
  </si>
  <si>
    <t>LDNO EHV: Non-Domestic Aggregated</t>
  </si>
  <si>
    <t>LDNO EHV: Non-Domestic Aggregated (related MPAN)</t>
  </si>
  <si>
    <t>LDNO EHV: LV Site Specific</t>
  </si>
  <si>
    <t>LDNO EHV: LV Sub Site Specific</t>
  </si>
  <si>
    <t>LDNO EHV: HV Site Specific</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</si>
  <si>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</si>
  <si>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</si>
  <si>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</si>
  <si>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</si>
  <si>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</si>
  <si>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</si>
  <si>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Domestic Aggregated</t>
  </si>
  <si>
    <t>LDNO 132kV/EHV: Domestic Aggregated (related MPAN)</t>
  </si>
  <si>
    <t>LDNO 132kV/EHV: Non-Domestic Aggregated</t>
  </si>
  <si>
    <t>LDNO 132kV/EHV: Non-Domestic Aggregated (related MPAN)</t>
  </si>
  <si>
    <t>LDNO 132kV/EHV: LV Site Specific</t>
  </si>
  <si>
    <t>LDNO 132kV/EHV: LV Sub Site Specific</t>
  </si>
  <si>
    <t>LDNO 132kV/EHV: HV Site Specific</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</si>
  <si>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</si>
  <si>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</si>
  <si>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</si>
  <si>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</si>
  <si>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</si>
  <si>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</si>
  <si>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Domestic Aggregated</t>
  </si>
  <si>
    <t>LDNO 132kV: Domestic Aggregated (related MPAN)</t>
  </si>
  <si>
    <t>LDNO 132kV: Non-Domestic Aggregated</t>
  </si>
  <si>
    <t>LDNO 132kV: Non-Domestic Aggregated (related MPAN)</t>
  </si>
  <si>
    <t>LDNO 132kV: LV Site Specific</t>
  </si>
  <si>
    <t>LDNO 132kV: LV Sub Site Specific</t>
  </si>
  <si>
    <t>LDNO 132kV: HV Site Specific</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</si>
  <si>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</si>
  <si>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</si>
  <si>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</si>
  <si>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</si>
  <si>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</si>
  <si>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</si>
  <si>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Domestic Aggregated</t>
  </si>
  <si>
    <t>LDNO 0000: Domestic Aggregated (related MPAN)</t>
  </si>
  <si>
    <t>LDNO 0000: Non-Domestic Aggregated</t>
  </si>
  <si>
    <t>LDNO 0000: Non-Domestic Aggregated (related MPAN)</t>
  </si>
  <si>
    <t>LDNO 0000: LV Site Specific</t>
  </si>
  <si>
    <t>LDNO 0000: LV Sub Site Specific</t>
  </si>
  <si>
    <t>LDNO 0000: HV Site Specific</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</si>
  <si>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</si>
  <si>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</si>
  <si>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</si>
  <si>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</si>
  <si>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</si>
  <si>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</si>
  <si>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</si>
  <si>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</si>
  <si>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</si>
  <si>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</si>
  <si>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</si>
  <si>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</si>
  <si>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</si>
  <si>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</si>
  <si>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</si>
  <si>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1, 100, 300</t>
  </si>
  <si>
    <t>350, 351, 352, 353, 354, 355, 356, 357, 358, 359, 360, 361, 362, 363, 364, 365, 366</t>
  </si>
  <si>
    <t>980, 982</t>
  </si>
  <si>
    <t>981, 983</t>
  </si>
  <si>
    <t>984, 986</t>
  </si>
  <si>
    <t>985, 987</t>
  </si>
  <si>
    <t>988, 990</t>
  </si>
  <si>
    <t>989, 991</t>
  </si>
  <si>
    <t/>
  </si>
  <si>
    <t>1, 2 or 0</t>
  </si>
  <si>
    <t>3-8 or 0</t>
  </si>
  <si>
    <t>1, 8 or 0</t>
  </si>
  <si>
    <t>8 or 0</t>
  </si>
  <si>
    <t>0</t>
  </si>
  <si>
    <t>South Eastern Power Networks</t>
  </si>
  <si>
    <t>2021/22</t>
  </si>
  <si>
    <t>1 April 2021</t>
  </si>
  <si>
    <t>16:00 - 19:00</t>
  </si>
  <si>
    <t>07:00 - 16:00
19:00 - 23:00</t>
  </si>
  <si>
    <t>00:00 - 07:00
23:00 - 24:00</t>
  </si>
  <si>
    <t>00:00 - 24:00</t>
  </si>
  <si>
    <t>All times are in UK Clock time</t>
  </si>
  <si>
    <t>Monday to Friday 
(Including Bank Holidays)
March to October Inclusive</t>
  </si>
  <si>
    <t>07:00 - 23:00</t>
  </si>
  <si>
    <t>South Eastern Power Networks has no Preserved NHH Tariffs/Additional LLFC classes</t>
  </si>
  <si>
    <t>South Eastern Power Networks has no Preserved HH Tariffs/Additional LLFC classes</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</si>
  <si>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</si>
  <si>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</si>
  <si>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</si>
  <si>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</si>
  <si>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</si>
  <si>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</si>
  <si>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</si>
  <si>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</si>
  <si>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</si>
  <si>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</si>
  <si>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</si>
  <si>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</si>
  <si>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</si>
  <si>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</si>
  <si>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</si>
  <si>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101, 250, 301</t>
  </si>
  <si>
    <t>283, 296</t>
  </si>
  <si>
    <t>124, 270, 274, 324, 484</t>
  </si>
  <si>
    <t>922, 933</t>
  </si>
  <si>
    <t>B&amp;RLTD</t>
  </si>
  <si>
    <t>BEDDIN</t>
  </si>
  <si>
    <t>BP_OIL</t>
  </si>
  <si>
    <t>CHESDC</t>
  </si>
  <si>
    <t>DIGREA</t>
  </si>
  <si>
    <t>EUROTU</t>
  </si>
  <si>
    <t>GAT_AF</t>
  </si>
  <si>
    <t>GAT_BF</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</si>
  <si>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</si>
  <si>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</si>
  <si>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</si>
  <si>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</si>
  <si>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</si>
  <si>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</si>
  <si>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</si>
  <si>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</si>
  <si>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</si>
  <si>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</si>
  <si>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</si>
  <si>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</si>
  <si>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</si>
  <si>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</si>
  <si>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</si>
  <si>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</si>
  <si>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</si>
  <si>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</si>
  <si>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</si>
  <si>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</si>
  <si>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</si>
  <si>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</si>
  <si>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</si>
  <si>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</si>
  <si>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</si>
  <si>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ASHBYS</t>
  </si>
  <si>
    <t>ASHGEN</t>
  </si>
  <si>
    <t>AYLESF</t>
  </si>
  <si>
    <t>BEDERF</t>
  </si>
  <si>
    <t>BESAYL</t>
  </si>
  <si>
    <t>BNTLEY</t>
  </si>
  <si>
    <t>BNTLY2</t>
  </si>
  <si>
    <t>BOBBNG</t>
  </si>
  <si>
    <t>BRAMBS</t>
  </si>
  <si>
    <t>BRELLE</t>
  </si>
  <si>
    <t>BRETSH</t>
  </si>
  <si>
    <t>BRKHST</t>
  </si>
  <si>
    <t>BTBRKS</t>
  </si>
  <si>
    <t>CAPELG</t>
  </si>
  <si>
    <t>CLYHLL</t>
  </si>
  <si>
    <t>CRYENG</t>
  </si>
  <si>
    <t>DSCPRK</t>
  </si>
  <si>
    <t>FORDSF</t>
  </si>
  <si>
    <t>FRWOOD</t>
  </si>
  <si>
    <t>GLASSN</t>
  </si>
  <si>
    <t>GROVEH</t>
  </si>
  <si>
    <t>GUSTON</t>
  </si>
  <si>
    <t>HADLOW</t>
  </si>
  <si>
    <t>HANSTA</t>
  </si>
  <si>
    <t>HLLMBY</t>
  </si>
  <si>
    <t>HORAMS</t>
  </si>
  <si>
    <t>KENTI2</t>
  </si>
  <si>
    <t>KENTIS</t>
  </si>
  <si>
    <t>KM3CHP</t>
  </si>
  <si>
    <t>KNWLTN</t>
  </si>
  <si>
    <t>LBOURN</t>
  </si>
  <si>
    <t>LCHEYI</t>
  </si>
  <si>
    <t>LENHAM</t>
  </si>
  <si>
    <t>LGHTON</t>
  </si>
  <si>
    <t>MARSHB</t>
  </si>
  <si>
    <t>MLEHLL</t>
  </si>
  <si>
    <t>MLMAYN</t>
  </si>
  <si>
    <t>MVVRID</t>
  </si>
  <si>
    <t>NEWHVN</t>
  </si>
  <si>
    <t>NEWRID</t>
  </si>
  <si>
    <t>OAKLND</t>
  </si>
  <si>
    <t>OLDRSF</t>
  </si>
  <si>
    <t>ORCHRD</t>
  </si>
  <si>
    <t>PADWSF</t>
  </si>
  <si>
    <t>POSHWF</t>
  </si>
  <si>
    <t>PRIORS</t>
  </si>
  <si>
    <t>PSHLEY</t>
  </si>
  <si>
    <t>SELLSF</t>
  </si>
  <si>
    <t>SEVIND</t>
  </si>
  <si>
    <t>SHEPHM</t>
  </si>
  <si>
    <t>SHORHM</t>
  </si>
  <si>
    <t>SOLEES</t>
  </si>
  <si>
    <t>STAREN</t>
  </si>
  <si>
    <t>SYCAMR</t>
  </si>
  <si>
    <t>THAEAR</t>
  </si>
  <si>
    <t>THANET</t>
  </si>
  <si>
    <t>THORNE</t>
  </si>
  <si>
    <t>TONGSF</t>
  </si>
  <si>
    <t>WDLNDS</t>
  </si>
  <si>
    <t>WIDHFM</t>
  </si>
  <si>
    <t>WLBEES</t>
  </si>
  <si>
    <t>WRGALL</t>
  </si>
  <si>
    <t>WSTWDX</t>
  </si>
  <si>
    <t>1900035000482
1900035425153</t>
  </si>
  <si>
    <t>1900070745640
1900070745650
1900070745669
1900070745678</t>
  </si>
  <si>
    <t>1900017426438
1900017426447</t>
  </si>
  <si>
    <t>1999000002228
1999000002237</t>
  </si>
  <si>
    <t>1900091200323
1900091200332</t>
  </si>
  <si>
    <t>1900017427938
1900017427947
1900060576620</t>
  </si>
  <si>
    <t>1900060690231
1900060690240</t>
  </si>
  <si>
    <t>1900060219819
1900060219855</t>
  </si>
  <si>
    <t>1900060219720
1900060219794</t>
  </si>
  <si>
    <t>1900090497281
1900090497290
1900090497306
1900090497315</t>
  </si>
  <si>
    <t>1900090872672
1900090872681</t>
  </si>
  <si>
    <t>1900061003393
1900090466576</t>
  </si>
  <si>
    <t>1900091057568
1900091637072</t>
  </si>
  <si>
    <t>1900004383769
1900031426056</t>
  </si>
  <si>
    <t>1900091085120
1900091473662</t>
  </si>
  <si>
    <t>1900091121257
1900091121275</t>
  </si>
  <si>
    <t>1900090417081
1900090417106
1900090417133
1900090417142
1900090417151</t>
  </si>
  <si>
    <t>1900090876979
1900090876988</t>
  </si>
  <si>
    <t>1900060866064
1900060866082</t>
  </si>
  <si>
    <t>1900091057559
1900091637081</t>
  </si>
  <si>
    <t>1900060442174
1900060512032</t>
  </si>
  <si>
    <t>1900091085110
1900091349724
1900091349733
1900091473671</t>
  </si>
  <si>
    <t>1900091121266
1900091121284</t>
  </si>
  <si>
    <t>1900090417160
1900090417189
1900090417212
1900090417221
1900090417230</t>
  </si>
  <si>
    <t>MSID: 1027</t>
  </si>
  <si>
    <t>MSID: 7160</t>
  </si>
  <si>
    <t>MSID: 7104</t>
  </si>
  <si>
    <t>MSID: 7105</t>
  </si>
  <si>
    <t>MSID: 7230</t>
  </si>
  <si>
    <t>ABNR31</t>
  </si>
  <si>
    <t>ABNR32</t>
  </si>
  <si>
    <t>ADDG51</t>
  </si>
  <si>
    <t>ADDL51</t>
  </si>
  <si>
    <t>ADDL52</t>
  </si>
  <si>
    <t>ALLG51</t>
  </si>
  <si>
    <t>ANGM51</t>
  </si>
  <si>
    <t>ANGM52</t>
  </si>
  <si>
    <t>AREP31</t>
  </si>
  <si>
    <t>AREP91</t>
  </si>
  <si>
    <t>ARLP31</t>
  </si>
  <si>
    <t>ARLP91</t>
  </si>
  <si>
    <t>ASHG31</t>
  </si>
  <si>
    <t>ASHG51</t>
  </si>
  <si>
    <t>ASHI51</t>
  </si>
  <si>
    <t>ASHP31</t>
  </si>
  <si>
    <t>ASNR31</t>
  </si>
  <si>
    <t>ASNR32</t>
  </si>
  <si>
    <t>ASTD51</t>
  </si>
  <si>
    <t>ASWN91</t>
  </si>
  <si>
    <t>ASWP31</t>
  </si>
  <si>
    <t>ASWP91</t>
  </si>
  <si>
    <t>AYBS31</t>
  </si>
  <si>
    <t>AYLF71</t>
  </si>
  <si>
    <t>BALO51</t>
  </si>
  <si>
    <t>BANS51</t>
  </si>
  <si>
    <t>BARM51</t>
  </si>
  <si>
    <t>BEDD13</t>
  </si>
  <si>
    <t>BEDD14</t>
  </si>
  <si>
    <t>BEDD51</t>
  </si>
  <si>
    <t>BENR31</t>
  </si>
  <si>
    <t>BENR32</t>
  </si>
  <si>
    <t>BERF31</t>
  </si>
  <si>
    <t>BERR51</t>
  </si>
  <si>
    <t>BETL51</t>
  </si>
  <si>
    <t>BEXH51</t>
  </si>
  <si>
    <t>BHWG31</t>
  </si>
  <si>
    <t>BHWG51</t>
  </si>
  <si>
    <t>BHWG91</t>
  </si>
  <si>
    <t>BHWG92</t>
  </si>
  <si>
    <t>BHWG93</t>
  </si>
  <si>
    <t>BIGH51</t>
  </si>
  <si>
    <t>BKWD51</t>
  </si>
  <si>
    <t>BOBB31</t>
  </si>
  <si>
    <t>BRDK51</t>
  </si>
  <si>
    <t>BRIL51</t>
  </si>
  <si>
    <t>BRWG31</t>
  </si>
  <si>
    <t>BSMG71</t>
  </si>
  <si>
    <t>BSMG72</t>
  </si>
  <si>
    <t>BTCH51</t>
  </si>
  <si>
    <t>BTCH52</t>
  </si>
  <si>
    <t>BTWN51</t>
  </si>
  <si>
    <t>BTWN52</t>
  </si>
  <si>
    <t>BURA31</t>
  </si>
  <si>
    <t>BURG51</t>
  </si>
  <si>
    <t>BUXT51</t>
  </si>
  <si>
    <t>BYFL51</t>
  </si>
  <si>
    <t>BYNR31</t>
  </si>
  <si>
    <t>BYNR32</t>
  </si>
  <si>
    <t>BYNR33</t>
  </si>
  <si>
    <t>CALC31</t>
  </si>
  <si>
    <t>CALC91</t>
  </si>
  <si>
    <t>CANR31</t>
  </si>
  <si>
    <t>CANR32</t>
  </si>
  <si>
    <t>CANT51</t>
  </si>
  <si>
    <t>CAPG31</t>
  </si>
  <si>
    <t>CAPL51</t>
  </si>
  <si>
    <t>CAPL52</t>
  </si>
  <si>
    <t>CASH71</t>
  </si>
  <si>
    <t>CBHM51</t>
  </si>
  <si>
    <t>CCRY51</t>
  </si>
  <si>
    <t>CERL51</t>
  </si>
  <si>
    <t>CHER51</t>
  </si>
  <si>
    <t>CHES51</t>
  </si>
  <si>
    <t>CHRT51</t>
  </si>
  <si>
    <t>CHTH51</t>
  </si>
  <si>
    <t>CHTW51</t>
  </si>
  <si>
    <t>CHTW52</t>
  </si>
  <si>
    <t>CINE51</t>
  </si>
  <si>
    <t>CINW51</t>
  </si>
  <si>
    <t>CLEW51</t>
  </si>
  <si>
    <t>CNTT51</t>
  </si>
  <si>
    <t>CNTT52</t>
  </si>
  <si>
    <t>COBM51</t>
  </si>
  <si>
    <t>COUN51</t>
  </si>
  <si>
    <t>COWF51</t>
  </si>
  <si>
    <t>CRAN51</t>
  </si>
  <si>
    <t>CREL51</t>
  </si>
  <si>
    <t>CRHM51</t>
  </si>
  <si>
    <t>CRNB51</t>
  </si>
  <si>
    <t>CRNR31</t>
  </si>
  <si>
    <t>CRNR32</t>
  </si>
  <si>
    <t>CROW51</t>
  </si>
  <si>
    <t>CROY51</t>
  </si>
  <si>
    <t>CROY52</t>
  </si>
  <si>
    <t>CRWT71</t>
  </si>
  <si>
    <t>CTWN51</t>
  </si>
  <si>
    <t>CWDC11</t>
  </si>
  <si>
    <t>CWDC12</t>
  </si>
  <si>
    <t>DART31</t>
  </si>
  <si>
    <t>DART32</t>
  </si>
  <si>
    <t>DART51</t>
  </si>
  <si>
    <t>DART52</t>
  </si>
  <si>
    <t>DEAL51</t>
  </si>
  <si>
    <t>DEPD51</t>
  </si>
  <si>
    <t>DEPD52</t>
  </si>
  <si>
    <t>DEPD53</t>
  </si>
  <si>
    <t>DEPW71</t>
  </si>
  <si>
    <t>DONR31</t>
  </si>
  <si>
    <t>DONR32</t>
  </si>
  <si>
    <t>DORT51</t>
  </si>
  <si>
    <t>DOVR51</t>
  </si>
  <si>
    <t>DOVR52</t>
  </si>
  <si>
    <t>DROV51</t>
  </si>
  <si>
    <t>DWSD71</t>
  </si>
  <si>
    <t>DYMC51</t>
  </si>
  <si>
    <t>EASH51</t>
  </si>
  <si>
    <t>EBBS51</t>
  </si>
  <si>
    <t>EBNR31</t>
  </si>
  <si>
    <t>EBNR32</t>
  </si>
  <si>
    <t>EBOU51</t>
  </si>
  <si>
    <t>ECRY71</t>
  </si>
  <si>
    <t>EDEN51</t>
  </si>
  <si>
    <t>EFFI51</t>
  </si>
  <si>
    <t>EFLK51</t>
  </si>
  <si>
    <t>EGRN51</t>
  </si>
  <si>
    <t>EGRN52</t>
  </si>
  <si>
    <t>ELMS51</t>
  </si>
  <si>
    <t>EPRS71</t>
  </si>
  <si>
    <t>EPRS72</t>
  </si>
  <si>
    <t>EPRS91</t>
  </si>
  <si>
    <t>EPRS92</t>
  </si>
  <si>
    <t>EPSN51</t>
  </si>
  <si>
    <t>ESHR51</t>
  </si>
  <si>
    <t>ETON71</t>
  </si>
  <si>
    <t>ETON72</t>
  </si>
  <si>
    <t>EURO11</t>
  </si>
  <si>
    <t>EWEL51</t>
  </si>
  <si>
    <t>EWEL52</t>
  </si>
  <si>
    <t>FAIR51</t>
  </si>
  <si>
    <t>FARN51</t>
  </si>
  <si>
    <t>FAVM51</t>
  </si>
  <si>
    <t>FAVM52</t>
  </si>
  <si>
    <t>FINR31</t>
  </si>
  <si>
    <t>FINR32</t>
  </si>
  <si>
    <t>FINR33</t>
  </si>
  <si>
    <t>FONR31</t>
  </si>
  <si>
    <t>FONR32</t>
  </si>
  <si>
    <t>FROW51</t>
  </si>
  <si>
    <t>GATA51</t>
  </si>
  <si>
    <t>GATB31</t>
  </si>
  <si>
    <t>GCAP31</t>
  </si>
  <si>
    <t>GLBS31</t>
  </si>
  <si>
    <t>GODG51</t>
  </si>
  <si>
    <t>GOUD51</t>
  </si>
  <si>
    <t>GRAN51</t>
  </si>
  <si>
    <t>GROL51</t>
  </si>
  <si>
    <t>GROV31</t>
  </si>
  <si>
    <t>GROV52</t>
  </si>
  <si>
    <t>GRVS51</t>
  </si>
  <si>
    <t>GRVT71</t>
  </si>
  <si>
    <t>GRVW51</t>
  </si>
  <si>
    <t>GUIA51</t>
  </si>
  <si>
    <t>GUIB51</t>
  </si>
  <si>
    <t>GUIL71</t>
  </si>
  <si>
    <t>HAIL51</t>
  </si>
  <si>
    <t>HALL51</t>
  </si>
  <si>
    <t>HAMM51</t>
  </si>
  <si>
    <t>HAMP51</t>
  </si>
  <si>
    <t>HANG51</t>
  </si>
  <si>
    <t>HANG52</t>
  </si>
  <si>
    <t>HARR51</t>
  </si>
  <si>
    <t>HASL51</t>
  </si>
  <si>
    <t>HASL52</t>
  </si>
  <si>
    <t>HASP31</t>
  </si>
  <si>
    <t>HASP91</t>
  </si>
  <si>
    <t>HAWK51</t>
  </si>
  <si>
    <t>HAYW51</t>
  </si>
  <si>
    <t>HCRN71</t>
  </si>
  <si>
    <t>HELI51</t>
  </si>
  <si>
    <t>HERB51</t>
  </si>
  <si>
    <t>HMDP51</t>
  </si>
  <si>
    <t>HORL51</t>
  </si>
  <si>
    <t>HORM51</t>
  </si>
  <si>
    <t>HORS51</t>
  </si>
  <si>
    <t>HOSF31</t>
  </si>
  <si>
    <t>HOSF91</t>
  </si>
  <si>
    <t>HOTF31</t>
  </si>
  <si>
    <t>HRSB51</t>
  </si>
  <si>
    <t>HRSL51</t>
  </si>
  <si>
    <t>HSPP51</t>
  </si>
  <si>
    <t>HURS11</t>
  </si>
  <si>
    <t>HYTH51</t>
  </si>
  <si>
    <t>JARV71</t>
  </si>
  <si>
    <t>KEMP51</t>
  </si>
  <si>
    <t>KFWF91</t>
  </si>
  <si>
    <t>KING51</t>
  </si>
  <si>
    <t>KITO11</t>
  </si>
  <si>
    <t>KITO51</t>
  </si>
  <si>
    <t>KMAR11</t>
  </si>
  <si>
    <t>KNPV31</t>
  </si>
  <si>
    <t>KNPV91</t>
  </si>
  <si>
    <t>KNRD71</t>
  </si>
  <si>
    <t>KNRD91</t>
  </si>
  <si>
    <t>KRE551</t>
  </si>
  <si>
    <t>KRPV31</t>
  </si>
  <si>
    <t>KTWF31</t>
  </si>
  <si>
    <t>LCHY31</t>
  </si>
  <si>
    <t>LEAD51</t>
  </si>
  <si>
    <t>LENR32</t>
  </si>
  <si>
    <t>LEYS71</t>
  </si>
  <si>
    <t>LHPV31</t>
  </si>
  <si>
    <t>LHPV91</t>
  </si>
  <si>
    <t>LIPV31</t>
  </si>
  <si>
    <t>LIPV91</t>
  </si>
  <si>
    <t>LITB51</t>
  </si>
  <si>
    <t>LITC51</t>
  </si>
  <si>
    <t>LITC52</t>
  </si>
  <si>
    <t>LNGF51</t>
  </si>
  <si>
    <t>LRDW51</t>
  </si>
  <si>
    <t>LTCH71</t>
  </si>
  <si>
    <t>LTHA51</t>
  </si>
  <si>
    <t>LTHD31</t>
  </si>
  <si>
    <t>LTHP31</t>
  </si>
  <si>
    <t>LTWA51</t>
  </si>
  <si>
    <t>LTWN51</t>
  </si>
  <si>
    <t>MAHR31</t>
  </si>
  <si>
    <t>MAHR91</t>
  </si>
  <si>
    <t>MAIN51</t>
  </si>
  <si>
    <t>MAIS51</t>
  </si>
  <si>
    <t>MANR31</t>
  </si>
  <si>
    <t>MANR32</t>
  </si>
  <si>
    <t>MANT51</t>
  </si>
  <si>
    <t>MAPV31</t>
  </si>
  <si>
    <t>MAPV91</t>
  </si>
  <si>
    <t>MARD51</t>
  </si>
  <si>
    <t>MARG51</t>
  </si>
  <si>
    <t>MARG52</t>
  </si>
  <si>
    <t>MBPV31</t>
  </si>
  <si>
    <t>MEAD51</t>
  </si>
  <si>
    <t>MEDW51</t>
  </si>
  <si>
    <t>MERR51</t>
  </si>
  <si>
    <t>MERW51</t>
  </si>
  <si>
    <t>MNST71</t>
  </si>
  <si>
    <t>MNST72</t>
  </si>
  <si>
    <t>MNTF51</t>
  </si>
  <si>
    <t>MOGD51</t>
  </si>
  <si>
    <t>MOLE91</t>
  </si>
  <si>
    <t>MOLS51</t>
  </si>
  <si>
    <t>MONG51</t>
  </si>
  <si>
    <t>MONG53</t>
  </si>
  <si>
    <t>MONG54</t>
  </si>
  <si>
    <t>MONG55</t>
  </si>
  <si>
    <t>MONG56</t>
  </si>
  <si>
    <t>MONG57</t>
  </si>
  <si>
    <t>MONK51</t>
  </si>
  <si>
    <t>MORH51</t>
  </si>
  <si>
    <t>MOUL51</t>
  </si>
  <si>
    <t>NCHM51</t>
  </si>
  <si>
    <t>NCHS51</t>
  </si>
  <si>
    <t>NERF31</t>
  </si>
  <si>
    <t>NERF51</t>
  </si>
  <si>
    <t>NEWT51</t>
  </si>
  <si>
    <t>NFNR31</t>
  </si>
  <si>
    <t>NFNR32</t>
  </si>
  <si>
    <t>NFNR33</t>
  </si>
  <si>
    <t>NFNR34</t>
  </si>
  <si>
    <t>NHEA31</t>
  </si>
  <si>
    <t>NHEA91</t>
  </si>
  <si>
    <t>NHEA92</t>
  </si>
  <si>
    <t>NHEA93</t>
  </si>
  <si>
    <t>NHEA94</t>
  </si>
  <si>
    <t>NHEA95</t>
  </si>
  <si>
    <t>NHEA96</t>
  </si>
  <si>
    <t>NHEB31</t>
  </si>
  <si>
    <t>NHEB91</t>
  </si>
  <si>
    <t>NHEB92</t>
  </si>
  <si>
    <t>NHEB93</t>
  </si>
  <si>
    <t>NHEB94</t>
  </si>
  <si>
    <t>NHEB95</t>
  </si>
  <si>
    <t>NHEB96</t>
  </si>
  <si>
    <t>NINL51</t>
  </si>
  <si>
    <t>NINP31</t>
  </si>
  <si>
    <t>NINP91</t>
  </si>
  <si>
    <t>NORB71</t>
  </si>
  <si>
    <t>NORK51</t>
  </si>
  <si>
    <t>NRWF31</t>
  </si>
  <si>
    <t>NSHO51</t>
  </si>
  <si>
    <t>NTHM51</t>
  </si>
  <si>
    <t>NUTF51</t>
  </si>
  <si>
    <t>NWIC51</t>
  </si>
  <si>
    <t>NWOR51</t>
  </si>
  <si>
    <t>OCKL51</t>
  </si>
  <si>
    <t>ORCF31</t>
  </si>
  <si>
    <t>ORMN31</t>
  </si>
  <si>
    <t>ORMN91</t>
  </si>
  <si>
    <t>ORPI51</t>
  </si>
  <si>
    <t>ORPI52</t>
  </si>
  <si>
    <t>ORPV31</t>
  </si>
  <si>
    <t>ORPV91</t>
  </si>
  <si>
    <t>OWOK51</t>
  </si>
  <si>
    <t>OXTD51</t>
  </si>
  <si>
    <t>PADK31</t>
  </si>
  <si>
    <t>PADK91</t>
  </si>
  <si>
    <t>PADW51</t>
  </si>
  <si>
    <t>PASF31</t>
  </si>
  <si>
    <t>PASF91</t>
  </si>
  <si>
    <t>PEAC51</t>
  </si>
  <si>
    <t>PENS51</t>
  </si>
  <si>
    <t>PETW51</t>
  </si>
  <si>
    <t>PEVB51</t>
  </si>
  <si>
    <t>PFIZ51</t>
  </si>
  <si>
    <t>PFIZ52</t>
  </si>
  <si>
    <t>PLBG3A</t>
  </si>
  <si>
    <t>POLT51</t>
  </si>
  <si>
    <t>PORT51</t>
  </si>
  <si>
    <t>PRLG51</t>
  </si>
  <si>
    <t>PRLG52</t>
  </si>
  <si>
    <t>PULB51</t>
  </si>
  <si>
    <t>PULO51</t>
  </si>
  <si>
    <t>QBNR31</t>
  </si>
  <si>
    <t>QNBR71</t>
  </si>
  <si>
    <t>QPRK51</t>
  </si>
  <si>
    <t>RAIN51</t>
  </si>
  <si>
    <t>RAMS51</t>
  </si>
  <si>
    <t>RAMS52</t>
  </si>
  <si>
    <t>RBTS51</t>
  </si>
  <si>
    <t>RDHG51</t>
  </si>
  <si>
    <t>REDH51</t>
  </si>
  <si>
    <t>REIG51</t>
  </si>
  <si>
    <t>RGPV31</t>
  </si>
  <si>
    <t>RGPV91</t>
  </si>
  <si>
    <t>RICH51</t>
  </si>
  <si>
    <t>RICM51</t>
  </si>
  <si>
    <t>RICM52</t>
  </si>
  <si>
    <t>RIDH71</t>
  </si>
  <si>
    <t>RIPV31</t>
  </si>
  <si>
    <t>RNMK51</t>
  </si>
  <si>
    <t>RNMK52</t>
  </si>
  <si>
    <t>ROMN51</t>
  </si>
  <si>
    <t>ROTT51</t>
  </si>
  <si>
    <t>RSHV71</t>
  </si>
  <si>
    <t>RUST51</t>
  </si>
  <si>
    <t>RUXL51</t>
  </si>
  <si>
    <t>SELH72</t>
  </si>
  <si>
    <t>SELS51</t>
  </si>
  <si>
    <t>SESF31</t>
  </si>
  <si>
    <t>SEVI51</t>
  </si>
  <si>
    <t>SFRM51</t>
  </si>
  <si>
    <t>SHAL51</t>
  </si>
  <si>
    <t>SHAM81</t>
  </si>
  <si>
    <t>SHEE31</t>
  </si>
  <si>
    <t>SHEE71</t>
  </si>
  <si>
    <t>SHEP51</t>
  </si>
  <si>
    <t>SHOV51</t>
  </si>
  <si>
    <t>SHRL51</t>
  </si>
  <si>
    <t>SHST11</t>
  </si>
  <si>
    <t>SHWF31</t>
  </si>
  <si>
    <t>SING71</t>
  </si>
  <si>
    <t>SINR31</t>
  </si>
  <si>
    <t>SINR32</t>
  </si>
  <si>
    <t>SITO51</t>
  </si>
  <si>
    <t>SITW51</t>
  </si>
  <si>
    <t>SMRS51</t>
  </si>
  <si>
    <t>SMTH51</t>
  </si>
  <si>
    <t>SOMP51</t>
  </si>
  <si>
    <t>SORP51</t>
  </si>
  <si>
    <t>SORP52</t>
  </si>
  <si>
    <t>SPET51</t>
  </si>
  <si>
    <t>SPET52</t>
  </si>
  <si>
    <t>SPRG71</t>
  </si>
  <si>
    <t>SPRG72</t>
  </si>
  <si>
    <t>SRAD51</t>
  </si>
  <si>
    <t>SRDW31</t>
  </si>
  <si>
    <t>STAN51</t>
  </si>
  <si>
    <t>STEY51</t>
  </si>
  <si>
    <t>STHG51</t>
  </si>
  <si>
    <t>STLX71</t>
  </si>
  <si>
    <t>STNE51</t>
  </si>
  <si>
    <t>STNF51</t>
  </si>
  <si>
    <t>STPL71</t>
  </si>
  <si>
    <t>STRD51</t>
  </si>
  <si>
    <t>SUFK71</t>
  </si>
  <si>
    <t>SUND51</t>
  </si>
  <si>
    <t>SURB51</t>
  </si>
  <si>
    <t>SUTA51</t>
  </si>
  <si>
    <t>SUTA52</t>
  </si>
  <si>
    <t>SUTB51</t>
  </si>
  <si>
    <t>SWAN51</t>
  </si>
  <si>
    <t>SWAT51</t>
  </si>
  <si>
    <t>SWIC51</t>
  </si>
  <si>
    <t>SWIC52</t>
  </si>
  <si>
    <t>SWNL51</t>
  </si>
  <si>
    <t>SWOR51</t>
  </si>
  <si>
    <t>TBNR31</t>
  </si>
  <si>
    <t>TBNR32</t>
  </si>
  <si>
    <t>TBNR33</t>
  </si>
  <si>
    <t>TEDD51</t>
  </si>
  <si>
    <t>TENT71</t>
  </si>
  <si>
    <t>TGCP31</t>
  </si>
  <si>
    <t>THAN51</t>
  </si>
  <si>
    <t>THNR31</t>
  </si>
  <si>
    <t>THNR32</t>
  </si>
  <si>
    <t>THWO11</t>
  </si>
  <si>
    <t>THWO12</t>
  </si>
  <si>
    <t>TICH51</t>
  </si>
  <si>
    <t>TOWN31</t>
  </si>
  <si>
    <t>TOWN51</t>
  </si>
  <si>
    <t>TOWN71</t>
  </si>
  <si>
    <t>TTWN71</t>
  </si>
  <si>
    <t>TUNT71</t>
  </si>
  <si>
    <t>TUWG51</t>
  </si>
  <si>
    <t>TWAH71</t>
  </si>
  <si>
    <t>TWIC51</t>
  </si>
  <si>
    <t>TWIC52</t>
  </si>
  <si>
    <t>TWNR31</t>
  </si>
  <si>
    <t>TWNR32</t>
  </si>
  <si>
    <t>UCKF51</t>
  </si>
  <si>
    <t>WADH71</t>
  </si>
  <si>
    <t>WALT51</t>
  </si>
  <si>
    <t>WARE51</t>
  </si>
  <si>
    <t>WASH71</t>
  </si>
  <si>
    <t>WATS51</t>
  </si>
  <si>
    <t>WCPV31</t>
  </si>
  <si>
    <t>WCRY51</t>
  </si>
  <si>
    <t>WEYB51</t>
  </si>
  <si>
    <t>WHIT51</t>
  </si>
  <si>
    <t>WHSF31</t>
  </si>
  <si>
    <t>WHTH51</t>
  </si>
  <si>
    <t>WING51</t>
  </si>
  <si>
    <t>WITH51</t>
  </si>
  <si>
    <t>WOKG51</t>
  </si>
  <si>
    <t>WOKS51</t>
  </si>
  <si>
    <t>WOKS52</t>
  </si>
  <si>
    <t>WRTM51</t>
  </si>
  <si>
    <t>WSTG51</t>
  </si>
  <si>
    <t>WTSM71</t>
  </si>
  <si>
    <t>WTWN51</t>
  </si>
  <si>
    <t>WTWN52</t>
  </si>
  <si>
    <t>WWEY51</t>
  </si>
  <si>
    <t>WWIC51</t>
  </si>
  <si>
    <t>WWOR51</t>
  </si>
  <si>
    <t>XWAY51</t>
  </si>
  <si>
    <t>SPN 0003</t>
  </si>
  <si>
    <t>Addington Grid</t>
  </si>
  <si>
    <t>Addington Local</t>
  </si>
  <si>
    <t>SPN 0018</t>
  </si>
  <si>
    <t>Angmering</t>
  </si>
  <si>
    <t>SPN 0067</t>
  </si>
  <si>
    <t>SPN 0020</t>
  </si>
  <si>
    <t>Ashington</t>
  </si>
  <si>
    <t>SPN 0078</t>
  </si>
  <si>
    <t>SPN 0049</t>
  </si>
  <si>
    <t>Ashtead</t>
  </si>
  <si>
    <t>SPN 0092</t>
  </si>
  <si>
    <t>SPN 0073</t>
  </si>
  <si>
    <t>Aylesford</t>
  </si>
  <si>
    <t>Baldslow</t>
  </si>
  <si>
    <t>Banstead</t>
  </si>
  <si>
    <t>Barming</t>
  </si>
  <si>
    <t>Beddington</t>
  </si>
  <si>
    <t>Berrylands</t>
  </si>
  <si>
    <t>Betteshanger Local</t>
  </si>
  <si>
    <t>Bexhill Town</t>
  </si>
  <si>
    <t>SPN 0006</t>
  </si>
  <si>
    <t>Biggin Hill</t>
  </si>
  <si>
    <t>Broad Oak</t>
  </si>
  <si>
    <t>Bridges Lane</t>
  </si>
  <si>
    <t>Bensham Grove</t>
  </si>
  <si>
    <t>Betchworth</t>
  </si>
  <si>
    <t>Brighton Town</t>
  </si>
  <si>
    <t>Burgess Hill</t>
  </si>
  <si>
    <t>Buxted</t>
  </si>
  <si>
    <t>Byfleet</t>
  </si>
  <si>
    <t>SPN 0051</t>
  </si>
  <si>
    <t>SPN 0062</t>
  </si>
  <si>
    <t>SPN 0014</t>
  </si>
  <si>
    <t>Canterbury</t>
  </si>
  <si>
    <t>Capel</t>
  </si>
  <si>
    <t>Ashford Central</t>
  </si>
  <si>
    <t>Cobham Kent</t>
  </si>
  <si>
    <t>Croydon Central</t>
  </si>
  <si>
    <t>C.E.R.L.</t>
  </si>
  <si>
    <t>Chertsey</t>
  </si>
  <si>
    <t>SPN 0021</t>
  </si>
  <si>
    <t>Chartham</t>
  </si>
  <si>
    <t>Chatham Hill</t>
  </si>
  <si>
    <t>Chatham West</t>
  </si>
  <si>
    <t>Crawley Ind East</t>
  </si>
  <si>
    <t>Crawley Industrial West</t>
  </si>
  <si>
    <t>Lewes Central</t>
  </si>
  <si>
    <t>Canterbury Town</t>
  </si>
  <si>
    <t>Cobham Surrey</t>
  </si>
  <si>
    <t>Coulsdon</t>
  </si>
  <si>
    <t>Cowfold</t>
  </si>
  <si>
    <t>Cranleigh</t>
  </si>
  <si>
    <t>SPN 0001</t>
  </si>
  <si>
    <t>Caterham</t>
  </si>
  <si>
    <t>Cranbrook</t>
  </si>
  <si>
    <t>SPN 0002</t>
  </si>
  <si>
    <t>Crowhurst</t>
  </si>
  <si>
    <t>Croydon Grid</t>
  </si>
  <si>
    <t>Crowborough Town</t>
  </si>
  <si>
    <t>Crawley Town</t>
  </si>
  <si>
    <t>SPN 0085</t>
  </si>
  <si>
    <t>Dartford</t>
  </si>
  <si>
    <t>Deal</t>
  </si>
  <si>
    <t>SPN 0043</t>
  </si>
  <si>
    <t>Dorking Town</t>
  </si>
  <si>
    <t>Dover</t>
  </si>
  <si>
    <t>The Droveway</t>
  </si>
  <si>
    <t>D.W.S.</t>
  </si>
  <si>
    <t>Dymchurch</t>
  </si>
  <si>
    <t>Ashford East</t>
  </si>
  <si>
    <t>Ebbsfleet</t>
  </si>
  <si>
    <t>SPN 0038</t>
  </si>
  <si>
    <t>Eastbourne</t>
  </si>
  <si>
    <t>East Croydon</t>
  </si>
  <si>
    <t>Edenbridge</t>
  </si>
  <si>
    <t>Effingham</t>
  </si>
  <si>
    <t>Folkestone East</t>
  </si>
  <si>
    <t>East Grinstead</t>
  </si>
  <si>
    <t>Four Elms</t>
  </si>
  <si>
    <t>Eastchurch Prison</t>
  </si>
  <si>
    <t>Epsom</t>
  </si>
  <si>
    <t>Esher</t>
  </si>
  <si>
    <t>Tonbridge East</t>
  </si>
  <si>
    <t>SPN 0046</t>
  </si>
  <si>
    <t>Ewell</t>
  </si>
  <si>
    <t>Farningham</t>
  </si>
  <si>
    <t>Faversham</t>
  </si>
  <si>
    <t>SPN 0005</t>
  </si>
  <si>
    <t>SPN 0047</t>
  </si>
  <si>
    <t>Forest Row</t>
  </si>
  <si>
    <t>Gatwick Airport AF</t>
  </si>
  <si>
    <t>SPN 0008</t>
  </si>
  <si>
    <t>Goddards Green Grid</t>
  </si>
  <si>
    <t>Goudhurst</t>
  </si>
  <si>
    <t>Grain</t>
  </si>
  <si>
    <t>Grovehurst Local</t>
  </si>
  <si>
    <t>SPN 0025</t>
  </si>
  <si>
    <t>Grovehurst Energy</t>
  </si>
  <si>
    <t>Gravesend South</t>
  </si>
  <si>
    <t>Gravesend Town</t>
  </si>
  <si>
    <t>Gravesend West</t>
  </si>
  <si>
    <t>Guildford 'A'</t>
  </si>
  <si>
    <t>Guildford 'B'</t>
  </si>
  <si>
    <t>Guildford</t>
  </si>
  <si>
    <t>Hailsham</t>
  </si>
  <si>
    <t>Halling</t>
  </si>
  <si>
    <t>Ham</t>
  </si>
  <si>
    <t>Hampton</t>
  </si>
  <si>
    <t>Hangleton</t>
  </si>
  <si>
    <t>Harrietsham</t>
  </si>
  <si>
    <t>Hastings Local</t>
  </si>
  <si>
    <t>SPN 0057</t>
  </si>
  <si>
    <t>Hawkhurst</t>
  </si>
  <si>
    <t>Haywards Heath</t>
  </si>
  <si>
    <t>Headcorn</t>
  </si>
  <si>
    <t>St Helier</t>
  </si>
  <si>
    <t>Herne Bay</t>
  </si>
  <si>
    <t>Hampden Park</t>
  </si>
  <si>
    <t>Horley</t>
  </si>
  <si>
    <t>Horam</t>
  </si>
  <si>
    <t>Horsham Grid</t>
  </si>
  <si>
    <t>SPN 0065</t>
  </si>
  <si>
    <t>SPN 0068</t>
  </si>
  <si>
    <t>Horsebridge</t>
  </si>
  <si>
    <t>Horsell</t>
  </si>
  <si>
    <t>Hythe Main</t>
  </si>
  <si>
    <t>Jarvis Brook</t>
  </si>
  <si>
    <t>Kemp Town</t>
  </si>
  <si>
    <t>SPN 0070</t>
  </si>
  <si>
    <t>Kingsnorth Grid</t>
  </si>
  <si>
    <t>Kingston</t>
  </si>
  <si>
    <t>SPN 0015</t>
  </si>
  <si>
    <t>SPN 0059</t>
  </si>
  <si>
    <t>SPN 0039</t>
  </si>
  <si>
    <t>Leatherhead Town</t>
  </si>
  <si>
    <t>SPN 0022</t>
  </si>
  <si>
    <t>Leysdown</t>
  </si>
  <si>
    <t>SPN 0048</t>
  </si>
  <si>
    <t>SPN 0052</t>
  </si>
  <si>
    <t>Littlebrook</t>
  </si>
  <si>
    <t>Little Common</t>
  </si>
  <si>
    <t>Longfield</t>
  </si>
  <si>
    <t>Lordswood</t>
  </si>
  <si>
    <t>Little Chart</t>
  </si>
  <si>
    <t>Littlehampton</t>
  </si>
  <si>
    <t>Little Horsted PV</t>
  </si>
  <si>
    <t>Lightweight Aggregates</t>
  </si>
  <si>
    <t>Lewes Town</t>
  </si>
  <si>
    <t>SPN 0064</t>
  </si>
  <si>
    <t>Maidstone Grid</t>
  </si>
  <si>
    <t>SPN 0019</t>
  </si>
  <si>
    <t>Manston</t>
  </si>
  <si>
    <t>SPN 0054</t>
  </si>
  <si>
    <t>Marden</t>
  </si>
  <si>
    <t>Margate</t>
  </si>
  <si>
    <t>Meads</t>
  </si>
  <si>
    <t>Medway</t>
  </si>
  <si>
    <t>Merrow</t>
  </si>
  <si>
    <t>Mereworth</t>
  </si>
  <si>
    <t>Minster</t>
  </si>
  <si>
    <t>Mountfield</t>
  </si>
  <si>
    <t>SPN 0034</t>
  </si>
  <si>
    <t>SPN 0061</t>
  </si>
  <si>
    <t>Molesey</t>
  </si>
  <si>
    <t>Monkton Grid</t>
  </si>
  <si>
    <t>SPN 0053</t>
  </si>
  <si>
    <t>Morehall</t>
  </si>
  <si>
    <t>Moulsecoomb</t>
  </si>
  <si>
    <t>North Cheam</t>
  </si>
  <si>
    <t>North Chessington</t>
  </si>
  <si>
    <t>SPN 0040</t>
  </si>
  <si>
    <t>Newhaven Town</t>
  </si>
  <si>
    <t>SPN 0044</t>
  </si>
  <si>
    <t>New Hook Eastchurch PV</t>
  </si>
  <si>
    <t>SPN 0029</t>
  </si>
  <si>
    <t>SPN 0055</t>
  </si>
  <si>
    <t>Ninfield Local</t>
  </si>
  <si>
    <t>SPN 0058</t>
  </si>
  <si>
    <t>Norbury</t>
  </si>
  <si>
    <t>Nork</t>
  </si>
  <si>
    <t>North Shoreham</t>
  </si>
  <si>
    <t>Northiam</t>
  </si>
  <si>
    <t>Nutfield</t>
  </si>
  <si>
    <t>Newick</t>
  </si>
  <si>
    <t>North Worthing</t>
  </si>
  <si>
    <t>Ocklynge</t>
  </si>
  <si>
    <t>SPN 0050</t>
  </si>
  <si>
    <t>Orpington</t>
  </si>
  <si>
    <t>SPN 0030</t>
  </si>
  <si>
    <t>Oxted</t>
  </si>
  <si>
    <t>SPN 0063</t>
  </si>
  <si>
    <t>Paddock Wood</t>
  </si>
  <si>
    <t>SPN 0060</t>
  </si>
  <si>
    <t>Peacehaven</t>
  </si>
  <si>
    <t>Penshurst</t>
  </si>
  <si>
    <t>Petts Wood</t>
  </si>
  <si>
    <t>Pevensey Bay</t>
  </si>
  <si>
    <t>SPN 0012</t>
  </si>
  <si>
    <t>Polegate Town</t>
  </si>
  <si>
    <t>Portslade</t>
  </si>
  <si>
    <t>Prologis</t>
  </si>
  <si>
    <t>Pulborough</t>
  </si>
  <si>
    <t>Purley Local</t>
  </si>
  <si>
    <t>SPN 0028</t>
  </si>
  <si>
    <t>Queenborough</t>
  </si>
  <si>
    <t>Queens Park</t>
  </si>
  <si>
    <t>Rainham</t>
  </si>
  <si>
    <t>Ramsgate</t>
  </si>
  <si>
    <t>Robertsbridge</t>
  </si>
  <si>
    <t>SPN 0071</t>
  </si>
  <si>
    <t>Redhill Primary</t>
  </si>
  <si>
    <t>Reigate</t>
  </si>
  <si>
    <t>SPN 0072</t>
  </si>
  <si>
    <t>Richborough</t>
  </si>
  <si>
    <t>Richmond</t>
  </si>
  <si>
    <t>SPN 0024</t>
  </si>
  <si>
    <t>SPN 0069</t>
  </si>
  <si>
    <t>Rainham Mark</t>
  </si>
  <si>
    <t>Romney Warren</t>
  </si>
  <si>
    <t>Rottingdean</t>
  </si>
  <si>
    <t>Rosherville</t>
  </si>
  <si>
    <t>Rusthall</t>
  </si>
  <si>
    <t>Ruxley</t>
  </si>
  <si>
    <t>Selhurst</t>
  </si>
  <si>
    <t>Selsdon</t>
  </si>
  <si>
    <t>Sevington</t>
  </si>
  <si>
    <t>SPN 0016</t>
  </si>
  <si>
    <t>Shalford</t>
  </si>
  <si>
    <t>SPN 0004</t>
  </si>
  <si>
    <t>Sheerness</t>
  </si>
  <si>
    <t>Shepway</t>
  </si>
  <si>
    <t>South Hove</t>
  </si>
  <si>
    <t>Shirley</t>
  </si>
  <si>
    <t>SPN 0023</t>
  </si>
  <si>
    <t>Shepham Windfarm</t>
  </si>
  <si>
    <t>Singleton</t>
  </si>
  <si>
    <t>SPN 0026</t>
  </si>
  <si>
    <t>Sittingbourne Town</t>
  </si>
  <si>
    <t>Stonemarshes</t>
  </si>
  <si>
    <t>Smeeth</t>
  </si>
  <si>
    <t>Sompting</t>
  </si>
  <si>
    <t>South Orpington</t>
  </si>
  <si>
    <t>St Peters</t>
  </si>
  <si>
    <t>Spurgeons Bridge</t>
  </si>
  <si>
    <t>Stelrad</t>
  </si>
  <si>
    <t>SPN 0082</t>
  </si>
  <si>
    <t>SPN 0041</t>
  </si>
  <si>
    <t>Steyning</t>
  </si>
  <si>
    <t>Southgate</t>
  </si>
  <si>
    <t>Steel Cross</t>
  </si>
  <si>
    <t>Stone</t>
  </si>
  <si>
    <t>Stanford</t>
  </si>
  <si>
    <t>Staplehurst</t>
  </si>
  <si>
    <t>Strood</t>
  </si>
  <si>
    <t>Suffolk Road</t>
  </si>
  <si>
    <t>Sundridge</t>
  </si>
  <si>
    <t>Surbiton</t>
  </si>
  <si>
    <t>Sutton A</t>
  </si>
  <si>
    <t>Sutton B</t>
  </si>
  <si>
    <t>Swanscombe</t>
  </si>
  <si>
    <t>Southwater</t>
  </si>
  <si>
    <t>Southwick</t>
  </si>
  <si>
    <t>Swanley</t>
  </si>
  <si>
    <t>South Worthing</t>
  </si>
  <si>
    <t>Teddington</t>
  </si>
  <si>
    <t>Tenterden</t>
  </si>
  <si>
    <t>Thanet</t>
  </si>
  <si>
    <t>SPN 0011</t>
  </si>
  <si>
    <t>SPN 0010</t>
  </si>
  <si>
    <t>Ticehurst</t>
  </si>
  <si>
    <t>SPN 0032</t>
  </si>
  <si>
    <t>Tonbridge Town</t>
  </si>
  <si>
    <t>SPN 0033</t>
  </si>
  <si>
    <t>Twickenham</t>
  </si>
  <si>
    <t>Uckfield</t>
  </si>
  <si>
    <t>Wadhurst</t>
  </si>
  <si>
    <t>Walton</t>
  </si>
  <si>
    <t>Warehorne</t>
  </si>
  <si>
    <t>West Ashford</t>
  </si>
  <si>
    <t>Waterside</t>
  </si>
  <si>
    <t>SPN 0013</t>
  </si>
  <si>
    <t>West Croydon</t>
  </si>
  <si>
    <t>Weybridge</t>
  </si>
  <si>
    <t>Whitstable</t>
  </si>
  <si>
    <t>West Hoathly</t>
  </si>
  <si>
    <t>Wingham</t>
  </si>
  <si>
    <t>Withdean</t>
  </si>
  <si>
    <t>Woking</t>
  </si>
  <si>
    <t>Woking S</t>
  </si>
  <si>
    <t>Wrotham Heath</t>
  </si>
  <si>
    <t>Westgate</t>
  </si>
  <si>
    <t>Wittersham</t>
  </si>
  <si>
    <t>Worthing Town</t>
  </si>
  <si>
    <t>West Weybridge</t>
  </si>
  <si>
    <t>West Wickham</t>
  </si>
  <si>
    <t>West Worthing</t>
  </si>
  <si>
    <t>Crossways</t>
  </si>
  <si>
    <t>EPN 0148</t>
  </si>
  <si>
    <t>SPN 0045</t>
  </si>
  <si>
    <t>SPN 0083</t>
  </si>
  <si>
    <t>SPN 0080</t>
  </si>
  <si>
    <t>SPN 0007</t>
  </si>
  <si>
    <t>SPN 0077</t>
  </si>
  <si>
    <t>SPN 0099</t>
  </si>
  <si>
    <t>SPN 0100</t>
  </si>
  <si>
    <t>Hurst 132kV</t>
  </si>
  <si>
    <t>SPN 0094</t>
  </si>
  <si>
    <t>SPN 0074</t>
  </si>
  <si>
    <t>Deptford Grid 11kV</t>
  </si>
  <si>
    <t>SPN 0081</t>
  </si>
  <si>
    <t>SPN 0042</t>
  </si>
  <si>
    <t>SPN 0091</t>
  </si>
  <si>
    <t>SPN 0079</t>
  </si>
  <si>
    <t>SPN 0090</t>
  </si>
  <si>
    <t>SPN 0095</t>
  </si>
  <si>
    <t>SPN 0084</t>
  </si>
  <si>
    <t>Bengeworth Road</t>
  </si>
  <si>
    <t>Brookwood</t>
  </si>
  <si>
    <t>Deptford  Grid</t>
  </si>
  <si>
    <t>Deptford West</t>
  </si>
  <si>
    <t>Fairmeadow</t>
  </si>
  <si>
    <t>Hurstpierpoint</t>
  </si>
  <si>
    <t>Maidstone Grid South</t>
  </si>
  <si>
    <t>Old Woking</t>
  </si>
  <si>
    <t>Sittingbourne West</t>
  </si>
  <si>
    <t>Townsend Hook</t>
  </si>
  <si>
    <t>Tunbridge Wells Grid</t>
  </si>
  <si>
    <t>Tunbridge Wells Town</t>
  </si>
  <si>
    <t>SPN 0076</t>
  </si>
  <si>
    <t>SPN 0056</t>
  </si>
  <si>
    <t>ANMSTR</t>
  </si>
  <si>
    <t>873</t>
  </si>
  <si>
    <t>780</t>
  </si>
  <si>
    <t>1900091919588</t>
  </si>
  <si>
    <t>1900091919597</t>
  </si>
  <si>
    <t>ENET</t>
  </si>
  <si>
    <t>LV Site Specific Storage Import</t>
  </si>
  <si>
    <t>LV Sub Site Specific Storage Import</t>
  </si>
  <si>
    <t>HV Site Specific Storage Import</t>
  </si>
  <si>
    <t>LDNO LV: LV Site Specific Storage Import</t>
  </si>
  <si>
    <t>LDNO HV: LV Site Specific Storage Import</t>
  </si>
  <si>
    <t>LDNO HV: LV Sub Site Specific Storage Import</t>
  </si>
  <si>
    <t>LDNO HV: HV Site Specific Storage Import</t>
  </si>
  <si>
    <t>LDNO HVplus: LV Site Specific Storage Import</t>
  </si>
  <si>
    <t>LDNO HVplus: LV Sub Site Specific Storage Import</t>
  </si>
  <si>
    <t>LDNO HVplus: HV Site Specific Storage Import</t>
  </si>
  <si>
    <t>LDNO EHV: LV Site Specific Storage Import</t>
  </si>
  <si>
    <t>LDNO EHV: LV Sub Site Specific Storage Import</t>
  </si>
  <si>
    <t>LDNO EHV: HV Site Specific Storage Import</t>
  </si>
  <si>
    <t>LDNO 132kV/EHV: LV Site Specific Storage Import</t>
  </si>
  <si>
    <t>LDNO 132kV/EHV: LV Sub Site Specific Storage Import</t>
  </si>
  <si>
    <t>LDNO 132kV/EHV: HV Site Specific Storage Import</t>
  </si>
  <si>
    <t>LDNO 132kV: LV Site Specific Storage Import</t>
  </si>
  <si>
    <t>LDNO 132kV: LV Sub Site Specific Storage Import</t>
  </si>
  <si>
    <t>LDNO 132kV: HV Site Specific Storage Import</t>
  </si>
  <si>
    <t>LDNO 0000: LV Site Specific Storage Import</t>
  </si>
  <si>
    <t>LDNO 0000: LV Sub Site Specific Storage Import</t>
  </si>
  <si>
    <t>LDNO 0000: HV Site Specific Storage Import</t>
  </si>
  <si>
    <t>771, 791, 792</t>
  </si>
  <si>
    <t>796, 797</t>
  </si>
  <si>
    <t>798, 799</t>
  </si>
  <si>
    <t>NEWHVN - Import</t>
  </si>
  <si>
    <t>ASHGEN - Import</t>
  </si>
  <si>
    <t>BRKHST - Import</t>
  </si>
  <si>
    <t>KNWLTN - Import</t>
  </si>
  <si>
    <t>DSCPRK - Import</t>
  </si>
  <si>
    <t>OLDRSF - Import</t>
  </si>
  <si>
    <t>WSTWDX - Import</t>
  </si>
  <si>
    <t>SYCAMR - Import</t>
  </si>
  <si>
    <t>LENHAM - Import</t>
  </si>
  <si>
    <t>ASHBYS - Import</t>
  </si>
  <si>
    <t>BTBRKS - Import</t>
  </si>
  <si>
    <t>FRWOOD - Import</t>
  </si>
  <si>
    <t>HADLOW - Import</t>
  </si>
  <si>
    <t>HLLMBY - Import</t>
  </si>
  <si>
    <t>KENTI2 - Import</t>
  </si>
  <si>
    <t>LBOURN - Import</t>
  </si>
  <si>
    <t>LGHTON - Import</t>
  </si>
  <si>
    <t>MLMAYN - Import</t>
  </si>
  <si>
    <t>THORNE - Import</t>
  </si>
  <si>
    <t>MLEHLL - Import</t>
  </si>
  <si>
    <t>OAKLND - Import</t>
  </si>
  <si>
    <t>WIDHFM - Import</t>
  </si>
  <si>
    <t>PADWSF - Import</t>
  </si>
  <si>
    <t>SOLEES - Import</t>
  </si>
  <si>
    <t>HORAMS - Import</t>
  </si>
  <si>
    <t>WDLNDS - Import</t>
  </si>
  <si>
    <t>PSHLEY - Import</t>
  </si>
  <si>
    <t>POSHWF - Import</t>
  </si>
  <si>
    <t>TONGSF - Import</t>
  </si>
  <si>
    <t>WLBEES - Import</t>
  </si>
  <si>
    <t>BNTLY2 - Import</t>
  </si>
  <si>
    <t>GUSTON - Import</t>
  </si>
  <si>
    <t>SHEPHM - Import</t>
  </si>
  <si>
    <t>DIGREA - Import</t>
  </si>
  <si>
    <t>B&amp;RLTD - Import</t>
  </si>
  <si>
    <t>BP_OIL - Import</t>
  </si>
  <si>
    <t>NP_LAB - Import</t>
  </si>
  <si>
    <t>THAMEM - Import</t>
  </si>
  <si>
    <t>TWHK66 - Import</t>
  </si>
  <si>
    <t>BEDERF - Import</t>
  </si>
  <si>
    <t>BESAYL - Import</t>
  </si>
  <si>
    <t>BRAMBS - Import</t>
  </si>
  <si>
    <t>BRELLE - Import</t>
  </si>
  <si>
    <t>GLASSN - Import</t>
  </si>
  <si>
    <t>NEWRID - Import</t>
  </si>
  <si>
    <t>KM3CHP - Import</t>
  </si>
  <si>
    <t>THAEAR - Import</t>
  </si>
  <si>
    <t>NR_AFD - Import</t>
  </si>
  <si>
    <t>NR_BRI - Import</t>
  </si>
  <si>
    <t>NR_BYF - Import</t>
  </si>
  <si>
    <t>NR_CAN - Import</t>
  </si>
  <si>
    <t>NR_CRO - Import</t>
  </si>
  <si>
    <t>NR_DOR - Import</t>
  </si>
  <si>
    <t>NR_EAS - Import</t>
  </si>
  <si>
    <t>NR_FOK - Import</t>
  </si>
  <si>
    <t>NR_HAS - Import</t>
  </si>
  <si>
    <t>NR_LEA - Import</t>
  </si>
  <si>
    <t>NR_MAI - Import</t>
  </si>
  <si>
    <t>NR_NOR - Import</t>
  </si>
  <si>
    <t>NR_QUE - Import</t>
  </si>
  <si>
    <t>NR_SIT - Import</t>
  </si>
  <si>
    <t>NR_THA - Import</t>
  </si>
  <si>
    <t>NR_3BR - Import</t>
  </si>
  <si>
    <t>NR_TUN - Import</t>
  </si>
  <si>
    <t>AYLESF - Import</t>
  </si>
  <si>
    <t>GAT_AF - Import</t>
  </si>
  <si>
    <t>GAT_BF - Import</t>
  </si>
  <si>
    <t>BRETSH - Import</t>
  </si>
  <si>
    <t>CRYENG - Import</t>
  </si>
  <si>
    <t>EUROTU - Import</t>
  </si>
  <si>
    <t>GROVEH - Import</t>
  </si>
  <si>
    <t>HANSTA - Import</t>
  </si>
  <si>
    <t>KENTIS - Import</t>
  </si>
  <si>
    <t>LCHEYI - Import</t>
  </si>
  <si>
    <t>NR_ASH - Import</t>
  </si>
  <si>
    <t>PFIZER - Import</t>
  </si>
  <si>
    <t>STAREN - Import</t>
  </si>
  <si>
    <t>THAMES - Import</t>
  </si>
  <si>
    <t>WRGALL - Import</t>
  </si>
  <si>
    <t>SENTIV - Import</t>
  </si>
  <si>
    <t>BEDDIN - Import</t>
  </si>
  <si>
    <t>BNTLEY - Import</t>
  </si>
  <si>
    <t>BOBBNG - Import</t>
  </si>
  <si>
    <t>CAPELG - Import</t>
  </si>
  <si>
    <t>CLYHLL - Import</t>
  </si>
  <si>
    <t>FORDSF - Import</t>
  </si>
  <si>
    <t>MARSHB - Import</t>
  </si>
  <si>
    <t>MVVRID - Import</t>
  </si>
  <si>
    <t>ORCHRD - Import</t>
  </si>
  <si>
    <t>PRIORS - Import</t>
  </si>
  <si>
    <t>SELLSF - Import</t>
  </si>
  <si>
    <t>THAMEM - Export</t>
  </si>
  <si>
    <t>TWHK66 - Export</t>
  </si>
  <si>
    <t>BEDERF - Export</t>
  </si>
  <si>
    <t>BESAYL - Export</t>
  </si>
  <si>
    <t>BRAMBS - Export</t>
  </si>
  <si>
    <t>BRELLE - Export</t>
  </si>
  <si>
    <t>GLASSN - Export</t>
  </si>
  <si>
    <t>NEWRID - Export</t>
  </si>
  <si>
    <t>KM3CHP - Export</t>
  </si>
  <si>
    <t>NEWHVN - Export</t>
  </si>
  <si>
    <t>HORAMS - Export</t>
  </si>
  <si>
    <t>WDLNDS - Export</t>
  </si>
  <si>
    <t>PSHLEY - Export</t>
  </si>
  <si>
    <t>DSCPRK - Export</t>
  </si>
  <si>
    <t>BOBBNG - Export</t>
  </si>
  <si>
    <t>CAPELG - Export</t>
  </si>
  <si>
    <t>FORDSF - Export</t>
  </si>
  <si>
    <t>GUSTON - Export</t>
  </si>
  <si>
    <t>MARSHB - Export</t>
  </si>
  <si>
    <t>MVVRID - Export</t>
  </si>
  <si>
    <t>TONGSF - Export</t>
  </si>
  <si>
    <t>BNTLY2 - Export</t>
  </si>
  <si>
    <t>BNTLEY - Export</t>
  </si>
  <si>
    <t>WIDHFM - Export</t>
  </si>
  <si>
    <t>WLBEES - Export</t>
  </si>
  <si>
    <t>CLYHLL - Export</t>
  </si>
  <si>
    <t>PRIORS - Export</t>
  </si>
  <si>
    <t>SHEPHM - Export</t>
  </si>
  <si>
    <t>POSHWF - Export</t>
  </si>
  <si>
    <t>SELLSF - Export</t>
  </si>
  <si>
    <t>LCHEYI - Export</t>
  </si>
  <si>
    <t>KENTIS - Export</t>
  </si>
  <si>
    <t>PFIZER - Export</t>
  </si>
  <si>
    <t>AYLESF - Export</t>
  </si>
  <si>
    <t>BRETSH - Export</t>
  </si>
  <si>
    <t>GROVEH - Export</t>
  </si>
  <si>
    <t>HANSTA - Export</t>
  </si>
  <si>
    <t>STAREN - Export</t>
  </si>
  <si>
    <t>CRYENG - Export</t>
  </si>
  <si>
    <t>WRGALL - Export</t>
  </si>
  <si>
    <t>THAMES - Export</t>
  </si>
  <si>
    <t>THAEAR - Export</t>
  </si>
  <si>
    <t>ASHGEN - Export</t>
  </si>
  <si>
    <t>KNWLTN - Export</t>
  </si>
  <si>
    <t>LENHAM - Export</t>
  </si>
  <si>
    <t>SYCAMR - Export</t>
  </si>
  <si>
    <t>BRKHST - Export</t>
  </si>
  <si>
    <t>OLDRSF - Export</t>
  </si>
  <si>
    <t>WSTWDX - Export</t>
  </si>
  <si>
    <t>ASHBYS - Export</t>
  </si>
  <si>
    <t>BTBRKS - Export</t>
  </si>
  <si>
    <t>FRWOOD - Export</t>
  </si>
  <si>
    <t>HADLOW - Export</t>
  </si>
  <si>
    <t>HLLMBY - Export</t>
  </si>
  <si>
    <t>KENTI2 - Export</t>
  </si>
  <si>
    <t>LBOURN - Export</t>
  </si>
  <si>
    <t>LGHTON - Export</t>
  </si>
  <si>
    <t>MLMAYN - Export</t>
  </si>
  <si>
    <t>THORNE - Export</t>
  </si>
  <si>
    <t>MLEHLL - Export</t>
  </si>
  <si>
    <t>OAKLND - Export</t>
  </si>
  <si>
    <t>ORCHRD - Export</t>
  </si>
  <si>
    <t>PADWSF - Export</t>
  </si>
  <si>
    <t>SOLEES - Export</t>
  </si>
  <si>
    <t>CVA site specific LLFs</t>
  </si>
  <si>
    <t>MSID</t>
  </si>
  <si>
    <t xml:space="preserve"> Dartford _J DSCP</t>
  </si>
  <si>
    <t xml:space="preserve"> Bromley DSCP</t>
  </si>
  <si>
    <t xml:space="preserve"> Shoreham Power Station - Export</t>
  </si>
  <si>
    <t xml:space="preserve"> Shoreham Power Station - Import</t>
  </si>
  <si>
    <t xml:space="preserve"> Sevington District Energy</t>
  </si>
  <si>
    <t>Import
LLF
period 5</t>
  </si>
  <si>
    <t>Export
LLF
period 5</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</si>
  <si>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</si>
  <si>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1, 2, 19, 69, 71, 72, 73, 74, 100, 120, 199, 200, 201, 202, 203, 204, 251, 287, 300, 320, 350, 351, 352, 353, 354, 355, 356, 357, 358, 359, 360, 361, 362, 363, 364, 365, 366, 480, 550, 921, 932, 935, 980, 981, 982, 983</t>
  </si>
  <si>
    <t>79, 81, 82, 83, 84, 756, 781, 782, 984, 985, 986, 987</t>
  </si>
  <si>
    <t>89, 91, 92, 93, 94,  650, 926, 937, 988, 989, 990, 991</t>
  </si>
  <si>
    <t>2, 251</t>
  </si>
  <si>
    <t>120, 200, 201, 202, 203, 204, 320, 480</t>
  </si>
  <si>
    <t>71, 72, 73, 74, 550</t>
  </si>
  <si>
    <t>81, 82, 83, 84, 756</t>
  </si>
  <si>
    <t>91, 92, 93, 94, 650</t>
  </si>
  <si>
    <t>19, 70</t>
  </si>
  <si>
    <t>79, 80</t>
  </si>
  <si>
    <t>89, 90</t>
  </si>
  <si>
    <t>A00</t>
  </si>
  <si>
    <t>B00</t>
  </si>
  <si>
    <t>C00, C01, C02, C03, C04</t>
  </si>
  <si>
    <t>D00</t>
  </si>
  <si>
    <t>E01, E02, E03, E04</t>
  </si>
  <si>
    <t>E00</t>
  </si>
  <si>
    <t>U00</t>
  </si>
  <si>
    <t>F00</t>
  </si>
  <si>
    <t>G00</t>
  </si>
  <si>
    <t>A10</t>
  </si>
  <si>
    <t>B10</t>
  </si>
  <si>
    <t>C10, C11, C12, C13, C14</t>
  </si>
  <si>
    <t>D10</t>
  </si>
  <si>
    <t>E11, E12, E13, E14</t>
  </si>
  <si>
    <t>J11, J12, J13, J14</t>
  </si>
  <si>
    <t>K11, K12, K13, K14</t>
  </si>
  <si>
    <t>E10</t>
  </si>
  <si>
    <t>J10</t>
  </si>
  <si>
    <t>K10</t>
  </si>
  <si>
    <t>U10</t>
  </si>
  <si>
    <t>F10</t>
  </si>
  <si>
    <t>H10</t>
  </si>
  <si>
    <t>G10</t>
  </si>
  <si>
    <t>L10</t>
  </si>
  <si>
    <t>M10</t>
  </si>
  <si>
    <t>A20</t>
  </si>
  <si>
    <t>B20</t>
  </si>
  <si>
    <t>C20, C21, C22, C23, C24</t>
  </si>
  <si>
    <t>D20</t>
  </si>
  <si>
    <t>E21, E22, E23, E24</t>
  </si>
  <si>
    <t>J21, J22, J23, J24</t>
  </si>
  <si>
    <t>K21, K22, K23, K24</t>
  </si>
  <si>
    <t>E20</t>
  </si>
  <si>
    <t>J20</t>
  </si>
  <si>
    <t>K20</t>
  </si>
  <si>
    <t>U20</t>
  </si>
  <si>
    <t>F20</t>
  </si>
  <si>
    <t>H20</t>
  </si>
  <si>
    <t>G20</t>
  </si>
  <si>
    <t>L20</t>
  </si>
  <si>
    <t>M20</t>
  </si>
  <si>
    <t>A30</t>
  </si>
  <si>
    <t>B30</t>
  </si>
  <si>
    <t>C30, C31, C32, C33, C34</t>
  </si>
  <si>
    <t>D30</t>
  </si>
  <si>
    <t>E31, E32, E33, E34</t>
  </si>
  <si>
    <t>J31, J32, J33, J34</t>
  </si>
  <si>
    <t>K31, K32, K33, K34</t>
  </si>
  <si>
    <t>E30</t>
  </si>
  <si>
    <t>J30</t>
  </si>
  <si>
    <t>K30</t>
  </si>
  <si>
    <t>U30</t>
  </si>
  <si>
    <t>F30</t>
  </si>
  <si>
    <t>H30</t>
  </si>
  <si>
    <t>G30</t>
  </si>
  <si>
    <t>L30</t>
  </si>
  <si>
    <t>M30</t>
  </si>
  <si>
    <t>A40</t>
  </si>
  <si>
    <t>B40</t>
  </si>
  <si>
    <t>C40, C41, C42, C43, C44</t>
  </si>
  <si>
    <t>D40</t>
  </si>
  <si>
    <t>E41, E42, E43, E44</t>
  </si>
  <si>
    <t>J41, J42, J43, J44</t>
  </si>
  <si>
    <t>K41, K42, K43, K44</t>
  </si>
  <si>
    <t>E40</t>
  </si>
  <si>
    <t>J40</t>
  </si>
  <si>
    <t>K40</t>
  </si>
  <si>
    <t>U40</t>
  </si>
  <si>
    <t>F40</t>
  </si>
  <si>
    <t>H40</t>
  </si>
  <si>
    <t>G40</t>
  </si>
  <si>
    <t>L40</t>
  </si>
  <si>
    <t>M40</t>
  </si>
  <si>
    <t>A50</t>
  </si>
  <si>
    <t>B50</t>
  </si>
  <si>
    <t>C50, C51, C52, C53, C54</t>
  </si>
  <si>
    <t>D50</t>
  </si>
  <si>
    <t>E51, E52, E53, E54</t>
  </si>
  <si>
    <t>J51, J52, J53, J54</t>
  </si>
  <si>
    <t>K51, K52, K53, K54</t>
  </si>
  <si>
    <t>E50</t>
  </si>
  <si>
    <t>J50</t>
  </si>
  <si>
    <t>K50</t>
  </si>
  <si>
    <t>U50</t>
  </si>
  <si>
    <t>F50</t>
  </si>
  <si>
    <t>H50</t>
  </si>
  <si>
    <t>G50</t>
  </si>
  <si>
    <t>L50</t>
  </si>
  <si>
    <t>M50</t>
  </si>
  <si>
    <t>A60</t>
  </si>
  <si>
    <t>B60</t>
  </si>
  <si>
    <t>C60, C61, C62, C63, C64</t>
  </si>
  <si>
    <t>D60</t>
  </si>
  <si>
    <t>E61, E62, E63, E64</t>
  </si>
  <si>
    <t>J61, J62, J63, J64</t>
  </si>
  <si>
    <t>K61, K62, K63, K64</t>
  </si>
  <si>
    <t>E60</t>
  </si>
  <si>
    <t>J60</t>
  </si>
  <si>
    <t>K60</t>
  </si>
  <si>
    <t>U60</t>
  </si>
  <si>
    <t>F60</t>
  </si>
  <si>
    <t>H60</t>
  </si>
  <si>
    <t>G60</t>
  </si>
  <si>
    <t>L60</t>
  </si>
  <si>
    <t>M60</t>
  </si>
  <si>
    <t>ORCHR2</t>
  </si>
  <si>
    <t>1900091349715
1900091349706</t>
  </si>
  <si>
    <t>KNTSFM</t>
  </si>
  <si>
    <t>MSID: 7425</t>
  </si>
  <si>
    <t>MSID: 7436</t>
  </si>
  <si>
    <t>Contego BESS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</si>
</sst>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0.000_ ;[Red]\-0.000\ "/>
    <numFmt numFmtId="171" formatCode="0.00;[Red]\-0.00;?;"/>
    <numFmt numFmtId="172" formatCode="#,##0;\-#,##0;;"/>
    <numFmt numFmtId="173" formatCode="000"/>
    <numFmt numFmtId="174" formatCode="#,##0;[Red]\-#,##0;;"/>
    <numFmt numFmtId="175" formatCode="0.000;[Red]\-0.000;?;"/>
    <numFmt numFmtId="176" formatCode="0.000_ ;\-0.000\ "/>
    <numFmt numFmtId="177" formatCode="0000"/>
    <numFmt numFmtId="178" formatCode="_-* #,##0.000_-;\-* #,##0.000_-;_-* &quot;-&quot;??_-;_-@_-"/>
    <numFmt numFmtId="179" formatCode="_(?,???,??0.000_);[Red]\(?,???,??0.000\);"/>
    <numFmt numFmtId="180" formatCode="_(?,???,??0.00_);[Red]\-0.00;"/>
    <numFmt numFmtId="181" formatCode="_(?,???,??0.000_);[Red]\-0.000;"/>
  </numFmts>
  <fonts count="36"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1"/>
      <color theme="3"/>
      <name val="Arial"/>
      <family val="2"/>
    </font>
    <font>
      <sz val="10"/>
      <color rgb="FF9C6500"/>
      <name val="Arial"/>
      <family val="2"/>
    </font>
    <font>
      <b/>
      <sz val="8"/>
      <color theme="0"/>
      <name val="Arial"/>
      <family val="2"/>
    </font>
    <font>
      <b/>
      <sz val="18"/>
      <name val="Arial"/>
      <family val="2"/>
    </font>
    <font>
      <b/>
      <sz val="12"/>
      <name val="Arial"/>
      <family val="2"/>
    </font>
    <font>
      <sz val="10"/>
      <name val="Arial"/>
      <family val="2"/>
    </font>
    <font>
      <strike/>
      <sz val="10"/>
      <name val="Arial"/>
      <family val="2"/>
    </font>
    <font>
      <strike/>
      <sz val="10"/>
      <color indexed="8"/>
      <name val="Arial"/>
      <family val="2"/>
    </font>
  </fonts>
  <fills count="38">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0C0C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8"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3" fillId="24" borderId="0" applyNumberFormat="0" applyBorder="0" applyAlignment="0" applyProtection="0"/>
    <xf numFmtId="0" fontId="3" fillId="6" borderId="0" applyNumberFormat="0" applyBorder="0" applyAlignment="0" applyProtection="0"/>
    <xf numFmtId="0" fontId="23" fillId="25" borderId="0" applyNumberFormat="0" applyBorder="0" applyAlignment="0" applyProtection="0"/>
    <xf numFmtId="0" fontId="2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27" fillId="0" borderId="0"/>
    <xf numFmtId="0" fontId="29" fillId="35" borderId="0" applyNumberFormat="0" applyBorder="0" applyAlignment="0" applyProtection="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xf numFmtId="43" fontId="33" fillId="0" borderId="0" applyFont="0" applyFill="0" applyBorder="0" applyAlignment="0" applyProtection="0"/>
  </cellStyleXfs>
  <cellXfs count="306">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Border="1" applyAlignment="1">
      <alignment wrapText="1"/>
    </xf>
    <xf numFmtId="0" fontId="0" fillId="0" borderId="0" xfId="0" applyBorder="1"/>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0" fontId="7" fillId="13" borderId="1" xfId="0" quotePrefix="1" applyFont="1" applyFill="1" applyBorder="1" applyAlignment="1">
      <alignment horizontal="center" vertical="center" wrapText="1"/>
    </xf>
    <xf numFmtId="0" fontId="7" fillId="16" borderId="1" xfId="0" quotePrefix="1" applyFont="1" applyFill="1" applyBorder="1"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0" fontId="20" fillId="9" borderId="1" xfId="0" applyNumberFormat="1" applyFont="1" applyFill="1" applyBorder="1" applyAlignment="1" applyProtection="1">
      <alignment horizontal="center" vertical="center"/>
      <protection locked="0"/>
    </xf>
    <xf numFmtId="170"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0" fontId="0" fillId="17" borderId="0" xfId="0" applyFill="1"/>
    <xf numFmtId="0" fontId="13" fillId="2" borderId="0" xfId="3" applyFont="1" applyFill="1" applyAlignment="1" applyProtection="1">
      <alignment vertical="center"/>
    </xf>
    <xf numFmtId="0" fontId="6" fillId="2" borderId="8" xfId="6" quotePrefix="1" applyFont="1" applyFill="1" applyBorder="1" applyAlignment="1">
      <alignment vertical="center" wrapText="1"/>
    </xf>
    <xf numFmtId="0" fontId="6" fillId="2" borderId="0" xfId="6" applyFont="1"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2"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ont="1" applyFill="1" applyBorder="1" applyAlignment="1" applyProtection="1">
      <alignment horizontal="left" vertical="center" wrapText="1"/>
      <protection locked="0"/>
    </xf>
    <xf numFmtId="0" fontId="6" fillId="9" borderId="1" xfId="6" applyNumberFormat="1" applyFont="1" applyFill="1" applyBorder="1" applyAlignment="1" applyProtection="1">
      <alignment horizontal="left" vertical="center" wrapText="1"/>
      <protection locked="0"/>
    </xf>
    <xf numFmtId="0" fontId="6" fillId="2" borderId="0" xfId="6" applyFont="1" applyFill="1" applyAlignment="1">
      <alignment horizontal="center" vertical="center"/>
    </xf>
    <xf numFmtId="166" fontId="6" fillId="2" borderId="0" xfId="6" applyNumberFormat="1" applyFont="1" applyFill="1" applyAlignment="1">
      <alignment horizontal="center" vertical="center"/>
    </xf>
    <xf numFmtId="0" fontId="6" fillId="2" borderId="0" xfId="6" applyFont="1" applyFill="1"/>
    <xf numFmtId="170"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0"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ont="1" applyFill="1" applyAlignment="1" applyProtection="1">
      <alignment horizontal="left" vertical="center" wrapText="1"/>
      <protection locked="0"/>
    </xf>
    <xf numFmtId="49" fontId="11" fillId="6" borderId="0" xfId="1" applyNumberFormat="1" applyFont="1" applyFill="1" applyAlignment="1" applyProtection="1">
      <alignment vertical="center" wrapText="1"/>
      <protection locked="0"/>
    </xf>
    <xf numFmtId="49" fontId="18" fillId="0" borderId="0" xfId="4" applyNumberFormat="1" applyFont="1" applyBorder="1" applyAlignment="1" applyProtection="1">
      <alignment vertical="center"/>
      <protection locked="0"/>
    </xf>
    <xf numFmtId="0" fontId="6" fillId="0" borderId="0" xfId="0" applyFont="1" applyBorder="1" applyProtection="1">
      <protection locked="0"/>
    </xf>
    <xf numFmtId="49" fontId="11" fillId="6" borderId="0" xfId="1" applyNumberFormat="1" applyFont="1" applyFill="1" applyBorder="1" applyAlignment="1" applyProtection="1">
      <alignment vertical="center" wrapText="1"/>
      <protection locked="0"/>
    </xf>
    <xf numFmtId="49" fontId="11" fillId="0" borderId="0" xfId="5" applyNumberFormat="1" applyFont="1" applyBorder="1" applyAlignment="1" applyProtection="1">
      <alignment vertical="center"/>
      <protection locked="0"/>
    </xf>
    <xf numFmtId="49" fontId="11" fillId="0" borderId="0" xfId="5" quotePrefix="1" applyNumberFormat="1" applyFont="1" applyBorder="1" applyAlignment="1" applyProtection="1">
      <alignment horizontal="left" vertical="center"/>
      <protection locked="0"/>
    </xf>
    <xf numFmtId="49" fontId="22"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4"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4" fillId="18" borderId="1" xfId="0" applyFont="1" applyFill="1" applyBorder="1" applyAlignment="1" applyProtection="1">
      <alignment horizontal="center" vertical="center" wrapText="1"/>
      <protection locked="0"/>
    </xf>
    <xf numFmtId="0" fontId="24"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6" applyFont="1" applyFill="1" applyBorder="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170" fontId="20"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ont="1" applyFill="1" applyAlignment="1" applyProtection="1">
      <alignment vertical="center"/>
      <protection hidden="1"/>
    </xf>
    <xf numFmtId="173" fontId="6" fillId="9" borderId="1" xfId="6" applyNumberFormat="1" applyFont="1" applyFill="1" applyBorder="1" applyAlignment="1">
      <alignment horizontal="center" vertical="center" wrapText="1"/>
    </xf>
    <xf numFmtId="0" fontId="6" fillId="9" borderId="1" xfId="6" applyNumberFormat="1" applyFont="1" applyFill="1" applyBorder="1" applyAlignment="1" applyProtection="1">
      <alignment horizontal="left" vertical="center" wrapText="1"/>
    </xf>
    <xf numFmtId="1" fontId="6" fillId="9" borderId="1" xfId="6" applyNumberFormat="1" applyFont="1" applyFill="1" applyBorder="1" applyAlignment="1" applyProtection="1">
      <alignment horizontal="left" vertical="center" wrapText="1"/>
    </xf>
    <xf numFmtId="170" fontId="4" fillId="23" borderId="1" xfId="6" applyNumberFormat="1" applyFont="1" applyFill="1" applyBorder="1" applyAlignment="1" applyProtection="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pplyProtection="1">
      <alignment horizontal="center" vertical="center"/>
    </xf>
    <xf numFmtId="165" fontId="4" fillId="12" borderId="1" xfId="6" applyNumberFormat="1" applyFont="1" applyFill="1" applyBorder="1" applyAlignment="1" applyProtection="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pplyProtection="1">
      <alignment horizontal="center" vertical="center"/>
    </xf>
    <xf numFmtId="0" fontId="6" fillId="11" borderId="1" xfId="13" applyFont="1" applyFill="1" applyBorder="1" applyAlignment="1" applyProtection="1">
      <alignment vertical="center"/>
      <protection locked="0"/>
    </xf>
    <xf numFmtId="172" fontId="6" fillId="31" borderId="1" xfId="10" applyNumberFormat="1" applyFont="1" applyFill="1" applyBorder="1" applyAlignment="1" applyProtection="1">
      <alignment vertical="center"/>
      <protection locked="0"/>
    </xf>
    <xf numFmtId="171" fontId="3" fillId="30" borderId="1" xfId="9" applyNumberFormat="1" applyFill="1" applyBorder="1" applyAlignment="1" applyProtection="1">
      <alignment vertical="center"/>
    </xf>
    <xf numFmtId="172" fontId="6" fillId="30" borderId="1" xfId="9" applyNumberFormat="1" applyFont="1" applyFill="1" applyBorder="1" applyAlignment="1" applyProtection="1">
      <alignment vertical="center"/>
      <protection locked="0"/>
    </xf>
    <xf numFmtId="172" fontId="6" fillId="33" borderId="1" xfId="9" applyNumberFormat="1" applyFont="1" applyFill="1" applyBorder="1" applyAlignment="1" applyProtection="1">
      <alignment vertical="center"/>
      <protection locked="0"/>
    </xf>
    <xf numFmtId="172" fontId="6" fillId="34" borderId="1" xfId="10"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1"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1" fontId="3" fillId="33" borderId="1" xfId="12"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2" fontId="3" fillId="30" borderId="1" xfId="9" applyNumberFormat="1" applyFill="1" applyBorder="1" applyAlignment="1" applyProtection="1">
      <alignment vertical="center"/>
      <protection locked="0"/>
    </xf>
    <xf numFmtId="174" fontId="3" fillId="30" borderId="1" xfId="9" applyNumberFormat="1" applyFill="1" applyBorder="1" applyAlignment="1" applyProtection="1">
      <alignment vertical="center"/>
    </xf>
    <xf numFmtId="174" fontId="3" fillId="33" borderId="1" xfId="9" applyNumberFormat="1" applyFill="1" applyBorder="1" applyAlignment="1" applyProtection="1">
      <alignment vertical="center"/>
    </xf>
    <xf numFmtId="174" fontId="6" fillId="31" borderId="1" xfId="10" applyNumberFormat="1" applyFont="1" applyFill="1" applyBorder="1" applyAlignment="1" applyProtection="1">
      <alignment vertical="center"/>
    </xf>
    <xf numFmtId="174" fontId="6" fillId="34" borderId="1" xfId="10" applyNumberFormat="1" applyFont="1" applyFill="1" applyBorder="1" applyAlignment="1" applyProtection="1">
      <alignment vertical="center"/>
    </xf>
    <xf numFmtId="175" fontId="3" fillId="30" borderId="5" xfId="9" applyNumberFormat="1" applyFill="1" applyBorder="1" applyAlignment="1" applyProtection="1">
      <alignment vertical="center"/>
    </xf>
    <xf numFmtId="175" fontId="3" fillId="30" borderId="1" xfId="9" applyNumberFormat="1" applyFill="1" applyBorder="1" applyAlignment="1" applyProtection="1">
      <alignment vertical="center"/>
    </xf>
    <xf numFmtId="0" fontId="7" fillId="7" borderId="1" xfId="0" applyFont="1" applyFill="1" applyBorder="1" applyAlignment="1">
      <alignment horizontal="center" vertical="center" wrapText="1"/>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49" fontId="11" fillId="6" borderId="0" xfId="1" applyNumberFormat="1" applyFont="1" applyFill="1" applyAlignment="1" applyProtection="1">
      <alignment horizontal="center" vertical="center" wrapText="1"/>
      <protection locked="0"/>
    </xf>
    <xf numFmtId="49" fontId="11" fillId="6" borderId="0" xfId="1" quotePrefix="1" applyNumberFormat="1" applyFont="1" applyFill="1" applyAlignment="1" applyProtection="1">
      <alignment horizontal="center" vertical="center" wrapText="1"/>
      <protection locked="0"/>
    </xf>
    <xf numFmtId="49" fontId="22" fillId="7" borderId="1" xfId="6" quotePrefix="1" applyNumberFormat="1" applyFont="1" applyFill="1" applyBorder="1" applyAlignment="1">
      <alignment horizontal="center" vertical="center" wrapText="1"/>
    </xf>
    <xf numFmtId="0" fontId="0" fillId="0" borderId="0" xfId="0" applyFill="1"/>
    <xf numFmtId="0" fontId="14" fillId="0" borderId="0" xfId="3" applyFont="1" applyFill="1" applyBorder="1" applyAlignment="1" applyProtection="1">
      <alignment vertical="center"/>
    </xf>
    <xf numFmtId="49" fontId="18" fillId="0" borderId="0" xfId="4" quotePrefix="1" applyNumberFormat="1" applyFont="1" applyBorder="1" applyAlignment="1" applyProtection="1">
      <alignment horizontal="left" vertical="center"/>
      <protection locked="0"/>
    </xf>
    <xf numFmtId="164" fontId="20" fillId="10" borderId="1" xfId="0" applyNumberFormat="1" applyFont="1" applyFill="1" applyBorder="1" applyAlignment="1" applyProtection="1">
      <alignment horizontal="center" vertical="center"/>
    </xf>
    <xf numFmtId="176" fontId="21" fillId="18" borderId="1" xfId="0" applyNumberFormat="1" applyFont="1" applyFill="1" applyBorder="1" applyAlignment="1" applyProtection="1">
      <alignment horizontal="center" vertical="center"/>
      <protection locked="0"/>
    </xf>
    <xf numFmtId="176" fontId="20" fillId="19" borderId="1" xfId="0" applyNumberFormat="1" applyFont="1" applyFill="1" applyBorder="1" applyAlignment="1" applyProtection="1">
      <alignment horizontal="center" vertical="center"/>
      <protection locked="0"/>
    </xf>
    <xf numFmtId="176" fontId="21" fillId="20" borderId="1" xfId="0" applyNumberFormat="1" applyFont="1" applyFill="1" applyBorder="1" applyAlignment="1" applyProtection="1">
      <alignment horizontal="center" vertical="center"/>
      <protection locked="0"/>
    </xf>
    <xf numFmtId="176" fontId="21" fillId="21" borderId="1" xfId="0" applyNumberFormat="1" applyFont="1" applyFill="1" applyBorder="1" applyAlignment="1" applyProtection="1">
      <alignment horizontal="center" vertical="center"/>
      <protection locked="0"/>
    </xf>
    <xf numFmtId="176" fontId="20" fillId="22" borderId="1" xfId="0" applyNumberFormat="1" applyFont="1" applyFill="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176" fontId="30" fillId="18" borderId="1" xfId="0" applyNumberFormat="1" applyFont="1" applyFill="1" applyBorder="1" applyAlignment="1" applyProtection="1">
      <alignment horizontal="center" vertical="center" wrapText="1"/>
      <protection locked="0"/>
    </xf>
    <xf numFmtId="176" fontId="9" fillId="19" borderId="1" xfId="0" applyNumberFormat="1" applyFont="1" applyFill="1" applyBorder="1" applyAlignment="1" applyProtection="1">
      <alignment horizontal="center" vertical="center" wrapText="1"/>
      <protection locked="0"/>
    </xf>
    <xf numFmtId="176"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0" fontId="9" fillId="3" borderId="1" xfId="0" applyNumberFormat="1" applyFont="1" applyFill="1" applyBorder="1" applyAlignment="1" applyProtection="1">
      <alignment horizontal="center" vertical="center"/>
      <protection locked="0"/>
    </xf>
    <xf numFmtId="170" fontId="9" fillId="9" borderId="1" xfId="0" applyNumberFormat="1" applyFont="1" applyFill="1" applyBorder="1" applyAlignment="1" applyProtection="1">
      <alignment horizontal="center" vertical="center"/>
      <protection locked="0"/>
    </xf>
    <xf numFmtId="176" fontId="30" fillId="21" borderId="1" xfId="0" applyNumberFormat="1" applyFont="1" applyFill="1" applyBorder="1" applyAlignment="1" applyProtection="1">
      <alignment horizontal="center" vertical="center" wrapText="1"/>
      <protection locked="0"/>
    </xf>
    <xf numFmtId="176"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xf>
    <xf numFmtId="170"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ont="1"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6" borderId="0" xfId="6" applyFill="1" applyAlignment="1">
      <alignment horizontal="left"/>
    </xf>
    <xf numFmtId="14" fontId="6" fillId="0" borderId="0" xfId="6" applyNumberFormat="1"/>
    <xf numFmtId="0" fontId="6" fillId="0" borderId="0" xfId="6" quotePrefix="1" applyAlignment="1">
      <alignment horizontal="left"/>
    </xf>
    <xf numFmtId="0" fontId="6" fillId="0" borderId="0" xfId="6" quotePrefix="1" applyFont="1" applyAlignment="1">
      <alignment horizontal="left"/>
    </xf>
    <xf numFmtId="0" fontId="6" fillId="0" borderId="0" xfId="6" applyFont="1"/>
    <xf numFmtId="0" fontId="13" fillId="0" borderId="0" xfId="3" applyFill="1" applyAlignment="1" applyProtection="1">
      <alignment horizontal="left" vertical="center"/>
    </xf>
    <xf numFmtId="0" fontId="6" fillId="36" borderId="0" xfId="6" applyFill="1" applyAlignment="1">
      <alignment horizontal="left" vertical="center"/>
    </xf>
    <xf numFmtId="177" fontId="6" fillId="36" borderId="0" xfId="6" applyNumberFormat="1" applyFill="1" applyAlignment="1">
      <alignment horizontal="left"/>
    </xf>
    <xf numFmtId="0" fontId="20" fillId="8" borderId="1" xfId="0" applyNumberFormat="1" applyFont="1" applyFill="1" applyBorder="1" applyAlignment="1" applyProtection="1">
      <alignment horizontal="center" vertical="center" wrapText="1"/>
      <protection locked="0"/>
    </xf>
    <xf numFmtId="0" fontId="20" fillId="17" borderId="1" xfId="0" applyNumberFormat="1" applyFont="1" applyFill="1" applyBorder="1" applyAlignment="1" applyProtection="1">
      <alignment horizontal="center" vertical="center" wrapText="1"/>
      <protection locked="0"/>
    </xf>
    <xf numFmtId="0" fontId="7" fillId="11" borderId="1" xfId="0" applyFont="1" applyFill="1" applyBorder="1" applyAlignment="1" applyProtection="1">
      <alignment vertical="center" wrapText="1"/>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0" fontId="7" fillId="7" borderId="1" xfId="0" applyFont="1" applyFill="1" applyBorder="1" applyAlignment="1" applyProtection="1">
      <alignment vertical="center" wrapText="1"/>
    </xf>
    <xf numFmtId="0" fontId="7" fillId="7" borderId="1" xfId="0" quotePrefix="1" applyFont="1" applyFill="1" applyBorder="1" applyAlignment="1" applyProtection="1">
      <alignment horizontal="center" vertical="center" wrapText="1"/>
    </xf>
    <xf numFmtId="0" fontId="7" fillId="7" borderId="1" xfId="0" applyFont="1" applyFill="1" applyBorder="1" applyAlignment="1" applyProtection="1">
      <alignment horizontal="center" vertical="center" wrapText="1"/>
    </xf>
    <xf numFmtId="2" fontId="20" fillId="3" borderId="1" xfId="0" applyNumberFormat="1" applyFont="1" applyFill="1" applyBorder="1" applyAlignment="1" applyProtection="1">
      <alignment horizontal="center" vertical="center"/>
    </xf>
    <xf numFmtId="2" fontId="20" fillId="10" borderId="1" xfId="0" applyNumberFormat="1" applyFont="1" applyFill="1" applyBorder="1" applyAlignment="1" applyProtection="1">
      <alignment horizontal="center" vertical="center"/>
    </xf>
    <xf numFmtId="0" fontId="6" fillId="2" borderId="0" xfId="6" quotePrefix="1" applyFont="1" applyFill="1" applyBorder="1" applyAlignment="1">
      <alignment horizontal="center" vertical="center" wrapText="1"/>
    </xf>
    <xf numFmtId="0" fontId="17" fillId="17" borderId="0" xfId="1" applyNumberFormat="1" applyFont="1" applyFill="1" applyBorder="1" applyAlignment="1">
      <alignment horizontal="center" vertical="center" wrapText="1"/>
    </xf>
    <xf numFmtId="0" fontId="13" fillId="0" borderId="0" xfId="3" applyAlignment="1" applyProtection="1">
      <alignment horizontal="left" vertical="top"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49" fontId="20" fillId="0" borderId="1" xfId="0" applyNumberFormat="1" applyFont="1" applyFill="1" applyBorder="1" applyAlignment="1" applyProtection="1">
      <alignment horizontal="center" vertical="center" wrapText="1"/>
      <protection locked="0"/>
    </xf>
    <xf numFmtId="0" fontId="20" fillId="0" borderId="1" xfId="0" applyFont="1" applyFill="1" applyBorder="1" applyAlignment="1" applyProtection="1">
      <alignment horizontal="center" vertical="center" wrapText="1"/>
      <protection locked="0"/>
    </xf>
    <xf numFmtId="49" fontId="15" fillId="37" borderId="1" xfId="0" applyNumberFormat="1" applyFont="1" applyFill="1" applyBorder="1" applyAlignment="1" applyProtection="1">
      <alignment horizontal="center" vertical="center" wrapText="1"/>
      <protection locked="0"/>
    </xf>
    <xf numFmtId="0" fontId="6" fillId="17" borderId="1" xfId="0" applyFont="1" applyFill="1" applyBorder="1" applyAlignment="1">
      <alignment horizontal="center" vertical="center" wrapText="1"/>
    </xf>
    <xf numFmtId="0" fontId="6" fillId="4" borderId="1" xfId="0" applyFont="1" applyFill="1" applyBorder="1" applyAlignment="1">
      <alignment vertical="center" wrapText="1"/>
    </xf>
    <xf numFmtId="164" fontId="20" fillId="9" borderId="1" xfId="0" applyNumberFormat="1" applyFont="1" applyFill="1" applyBorder="1" applyAlignment="1" applyProtection="1">
      <alignment horizontal="center" vertical="center"/>
      <protection locked="0"/>
    </xf>
    <xf numFmtId="178" fontId="0" fillId="2" borderId="1" xfId="19" applyNumberFormat="1" applyFont="1" applyFill="1" applyBorder="1" applyAlignment="1">
      <alignment horizontal="center" vertical="center"/>
    </xf>
    <xf numFmtId="0" fontId="0" fillId="2" borderId="1" xfId="0" applyFill="1" applyBorder="1" applyAlignment="1">
      <alignment horizontal="left" vertical="center" indent="1"/>
    </xf>
    <xf numFmtId="0" fontId="6" fillId="2" borderId="1" xfId="0" applyFont="1" applyFill="1" applyBorder="1" applyAlignment="1">
      <alignment horizontal="left" vertical="center" indent="1"/>
    </xf>
    <xf numFmtId="49" fontId="6" fillId="9" borderId="1" xfId="0" quotePrefix="1" applyNumberFormat="1" applyFont="1" applyFill="1" applyBorder="1" applyAlignment="1" applyProtection="1">
      <alignment horizontal="left" vertical="center" wrapText="1" indent="1"/>
      <protection locked="0"/>
    </xf>
    <xf numFmtId="0" fontId="6" fillId="9" borderId="1" xfId="0" quotePrefix="1" applyNumberFormat="1" applyFont="1" applyFill="1" applyBorder="1" applyAlignment="1" applyProtection="1">
      <alignment horizontal="center" vertical="center" wrapText="1"/>
      <protection locked="0"/>
    </xf>
    <xf numFmtId="1" fontId="6" fillId="9" borderId="1" xfId="0" quotePrefix="1" applyNumberFormat="1" applyFont="1" applyFill="1" applyBorder="1" applyAlignment="1" applyProtection="1">
      <alignment horizontal="left" vertical="center" wrapText="1" indent="1"/>
      <protection locked="0"/>
    </xf>
    <xf numFmtId="49" fontId="6" fillId="9" borderId="1" xfId="0" applyNumberFormat="1" applyFont="1" applyFill="1" applyBorder="1" applyAlignment="1" applyProtection="1">
      <alignment horizontal="left" vertical="center" wrapText="1" indent="1"/>
    </xf>
    <xf numFmtId="0" fontId="6" fillId="9" borderId="1" xfId="0" applyNumberFormat="1"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left" vertical="center" wrapText="1" indent="1"/>
      <protection locked="0"/>
    </xf>
    <xf numFmtId="179" fontId="4" fillId="12" borderId="1" xfId="7" applyNumberFormat="1" applyFont="1" applyFill="1" applyBorder="1" applyAlignment="1" applyProtection="1">
      <alignment horizontal="right" vertical="center"/>
    </xf>
    <xf numFmtId="180" fontId="4" fillId="12" borderId="1" xfId="7" applyNumberFormat="1" applyFont="1" applyFill="1" applyBorder="1" applyAlignment="1" applyProtection="1">
      <alignment horizontal="right" vertical="center"/>
    </xf>
    <xf numFmtId="181" fontId="4" fillId="9" borderId="1" xfId="6" applyNumberFormat="1" applyFont="1" applyFill="1" applyBorder="1" applyAlignment="1" applyProtection="1">
      <alignment horizontal="right" vertical="center"/>
      <protection locked="0"/>
    </xf>
    <xf numFmtId="180" fontId="4" fillId="9" borderId="1" xfId="7" applyNumberFormat="1" applyFont="1" applyFill="1" applyBorder="1" applyAlignment="1" applyProtection="1">
      <alignment horizontal="right" vertical="center"/>
      <protection locked="0"/>
    </xf>
    <xf numFmtId="180" fontId="4" fillId="9" borderId="1" xfId="6" applyNumberFormat="1" applyFont="1" applyFill="1" applyBorder="1" applyAlignment="1" applyProtection="1">
      <alignment horizontal="right" vertical="center"/>
      <protection locked="0"/>
    </xf>
    <xf numFmtId="14" fontId="6" fillId="9" borderId="1" xfId="0" quotePrefix="1" applyNumberFormat="1" applyFont="1" applyFill="1" applyBorder="1" applyAlignment="1" applyProtection="1">
      <alignment horizontal="left" vertical="center" wrapText="1"/>
      <protection locked="0"/>
    </xf>
    <xf numFmtId="0" fontId="6" fillId="9" borderId="1" xfId="6" applyNumberFormat="1" applyFont="1" applyFill="1" applyBorder="1" applyAlignment="1" applyProtection="1">
      <alignment horizontal="left" vertical="center" wrapText="1" indent="1"/>
      <protection locked="0"/>
    </xf>
    <xf numFmtId="0" fontId="7" fillId="7" borderId="1" xfId="0" applyFont="1" applyFill="1" applyBorder="1" applyAlignment="1" applyProtection="1">
      <alignment horizontal="center" vertical="center" wrapText="1"/>
      <protection locked="0"/>
    </xf>
    <xf numFmtId="0" fontId="0" fillId="0" borderId="1" xfId="0" applyBorder="1" applyAlignment="1">
      <alignment horizontal="center" vertical="center"/>
    </xf>
    <xf numFmtId="165" fontId="0" fillId="0" borderId="1" xfId="0" applyNumberFormat="1" applyBorder="1" applyAlignment="1">
      <alignment horizontal="center" vertical="center"/>
    </xf>
    <xf numFmtId="165" fontId="0" fillId="0" borderId="1" xfId="0" applyNumberFormat="1" applyBorder="1" applyAlignment="1">
      <alignment horizontal="center" vertical="center" wrapText="1"/>
    </xf>
    <xf numFmtId="0" fontId="6" fillId="0" borderId="3" xfId="0" applyFont="1" applyBorder="1" applyAlignment="1">
      <alignment horizontal="left" vertical="center" wrapText="1" indent="1"/>
    </xf>
    <xf numFmtId="0" fontId="2" fillId="0" borderId="1" xfId="0" applyFont="1" applyFill="1" applyBorder="1" applyAlignment="1" applyProtection="1">
      <alignment horizontal="center" vertical="center"/>
      <protection locked="0"/>
    </xf>
    <xf numFmtId="178" fontId="6" fillId="14" borderId="1" xfId="19" applyNumberFormat="1" applyFont="1" applyFill="1" applyBorder="1" applyAlignment="1" applyProtection="1">
      <alignment horizontal="left" vertical="center" wrapText="1"/>
      <protection locked="0"/>
    </xf>
    <xf numFmtId="178" fontId="4" fillId="14" borderId="1" xfId="19" applyNumberFormat="1" applyFont="1" applyFill="1" applyBorder="1" applyAlignment="1" applyProtection="1">
      <alignment horizontal="center" vertical="center"/>
      <protection locked="0"/>
    </xf>
    <xf numFmtId="178" fontId="4" fillId="15" borderId="1" xfId="19" applyNumberFormat="1" applyFont="1" applyFill="1" applyBorder="1" applyAlignment="1" applyProtection="1">
      <alignment horizontal="center" vertical="center"/>
      <protection locked="0"/>
    </xf>
    <xf numFmtId="3" fontId="20" fillId="8" borderId="1" xfId="0" quotePrefix="1" applyNumberFormat="1" applyFont="1" applyFill="1" applyBorder="1" applyAlignment="1" applyProtection="1">
      <alignment horizontal="center" vertical="center" wrapText="1"/>
      <protection locked="0"/>
    </xf>
    <xf numFmtId="0" fontId="7" fillId="7" borderId="1" xfId="0" applyFont="1" applyFill="1" applyBorder="1" applyAlignment="1">
      <alignment horizontal="center" vertical="center" wrapText="1"/>
    </xf>
    <xf numFmtId="49" fontId="34" fillId="9" borderId="1" xfId="0" quotePrefix="1" applyNumberFormat="1" applyFont="1" applyFill="1" applyBorder="1" applyAlignment="1" applyProtection="1">
      <alignment horizontal="left" vertical="center" wrapText="1" indent="1"/>
      <protection locked="0"/>
    </xf>
    <xf numFmtId="173" fontId="34" fillId="9" borderId="1" xfId="6" applyNumberFormat="1" applyFont="1" applyFill="1" applyBorder="1" applyAlignment="1">
      <alignment horizontal="center" vertical="center" wrapText="1"/>
    </xf>
    <xf numFmtId="1" fontId="34" fillId="9" borderId="1" xfId="6" applyNumberFormat="1" applyFont="1" applyFill="1" applyBorder="1" applyAlignment="1" applyProtection="1">
      <alignment horizontal="left" vertical="center" wrapText="1"/>
      <protection locked="0"/>
    </xf>
    <xf numFmtId="0" fontId="34" fillId="9" borderId="1" xfId="6" applyNumberFormat="1" applyFont="1" applyFill="1" applyBorder="1" applyAlignment="1" applyProtection="1">
      <alignment horizontal="left" vertical="center" wrapText="1" indent="1"/>
      <protection locked="0"/>
    </xf>
    <xf numFmtId="170" fontId="35" fillId="12" borderId="1" xfId="6" applyNumberFormat="1" applyFont="1" applyFill="1" applyBorder="1" applyAlignment="1" applyProtection="1">
      <alignment horizontal="center" vertical="center"/>
      <protection locked="0"/>
    </xf>
    <xf numFmtId="164" fontId="35" fillId="12" borderId="1" xfId="6" applyNumberFormat="1" applyFont="1" applyFill="1" applyBorder="1" applyAlignment="1" applyProtection="1">
      <alignment horizontal="center" vertical="center"/>
      <protection locked="0"/>
    </xf>
    <xf numFmtId="170" fontId="35" fillId="9" borderId="1" xfId="6" applyNumberFormat="1" applyFont="1" applyFill="1" applyBorder="1" applyAlignment="1" applyProtection="1">
      <alignment horizontal="center" vertical="center"/>
      <protection locked="0"/>
    </xf>
    <xf numFmtId="164" fontId="35" fillId="9" borderId="1" xfId="6" applyNumberFormat="1" applyFont="1" applyFill="1" applyBorder="1" applyAlignment="1" applyProtection="1">
      <alignment horizontal="center" vertical="center"/>
      <protection locked="0"/>
    </xf>
    <xf numFmtId="0" fontId="6"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15" fillId="0" borderId="0" xfId="0" quotePrefix="1" applyNumberFormat="1" applyFont="1" applyFill="1" applyAlignment="1" applyProtection="1">
      <alignment horizontal="left" vertical="top" wrapText="1"/>
    </xf>
    <xf numFmtId="0" fontId="15" fillId="0" borderId="0" xfId="0" quotePrefix="1" applyNumberFormat="1" applyFont="1" applyAlignment="1" applyProtection="1">
      <alignment horizontal="left" vertical="top" wrapText="1"/>
    </xf>
    <xf numFmtId="49" fontId="11" fillId="6" borderId="0" xfId="1" applyNumberFormat="1" applyFont="1" applyFill="1" applyAlignment="1" applyProtection="1">
      <alignment horizontal="center" vertical="center" wrapText="1"/>
      <protection locked="0"/>
    </xf>
    <xf numFmtId="49" fontId="11" fillId="6" borderId="0" xfId="1" applyNumberFormat="1" applyFont="1" applyFill="1" applyAlignment="1" applyProtection="1">
      <alignment horizontal="left" vertical="center" wrapText="1"/>
      <protection locked="0"/>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6" fillId="2" borderId="8" xfId="6" quotePrefix="1" applyFont="1" applyFill="1" applyBorder="1" applyAlignment="1">
      <alignment horizontal="center" vertical="center" wrapText="1"/>
    </xf>
    <xf numFmtId="0" fontId="29" fillId="35" borderId="13" xfId="15" quotePrefix="1" applyBorder="1" applyAlignment="1">
      <alignment horizontal="left" vertical="top" wrapText="1"/>
    </xf>
    <xf numFmtId="0" fontId="29" fillId="35" borderId="8" xfId="15" quotePrefix="1" applyBorder="1" applyAlignment="1">
      <alignment horizontal="left" vertical="top" wrapText="1"/>
    </xf>
    <xf numFmtId="0" fontId="17" fillId="6" borderId="1" xfId="1" applyNumberFormat="1" applyFont="1" applyFill="1" applyBorder="1" applyAlignment="1">
      <alignment horizontal="center" vertical="center" wrapText="1"/>
    </xf>
    <xf numFmtId="170" fontId="20" fillId="19" borderId="3" xfId="0" applyNumberFormat="1" applyFont="1" applyFill="1" applyBorder="1" applyAlignment="1" applyProtection="1">
      <alignment horizontal="center" vertical="center"/>
      <protection locked="0"/>
    </xf>
    <xf numFmtId="170" fontId="20"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0" borderId="4" xfId="0" applyFont="1" applyBorder="1" applyAlignment="1">
      <alignment horizontal="left" vertical="center" wrapText="1" indent="1"/>
    </xf>
    <xf numFmtId="0" fontId="7" fillId="0" borderId="1" xfId="0" applyFont="1" applyBorder="1" applyAlignment="1">
      <alignment horizontal="left" vertical="center" wrapText="1"/>
    </xf>
    <xf numFmtId="0" fontId="24" fillId="18" borderId="1" xfId="0" applyFont="1" applyFill="1" applyBorder="1" applyAlignment="1" applyProtection="1">
      <alignment horizontal="center" vertical="center" wrapText="1"/>
      <protection locked="0"/>
    </xf>
    <xf numFmtId="0" fontId="6" fillId="2" borderId="8" xfId="6"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7" fillId="0" borderId="1" xfId="0" applyFont="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170" fontId="32" fillId="0" borderId="17" xfId="0" applyNumberFormat="1" applyFont="1" applyBorder="1" applyAlignment="1">
      <alignment horizontal="center" vertical="center" wrapText="1"/>
    </xf>
    <xf numFmtId="0" fontId="32" fillId="0" borderId="11" xfId="0" applyFont="1" applyBorder="1" applyAlignment="1">
      <alignment horizontal="center" vertical="center" wrapText="1"/>
    </xf>
    <xf numFmtId="0" fontId="32" fillId="0" borderId="0" xfId="0" applyFont="1" applyBorder="1" applyAlignment="1">
      <alignment horizontal="center" vertical="center" wrapText="1"/>
    </xf>
    <xf numFmtId="170" fontId="32" fillId="0" borderId="12" xfId="0" applyNumberFormat="1" applyFont="1" applyBorder="1" applyAlignment="1">
      <alignment horizontal="center" vertical="center" wrapText="1"/>
    </xf>
    <xf numFmtId="0" fontId="32" fillId="0" borderId="13" xfId="0" applyFont="1" applyBorder="1" applyAlignment="1">
      <alignment horizontal="center" vertical="center" wrapText="1"/>
    </xf>
    <xf numFmtId="0" fontId="32" fillId="0" borderId="8" xfId="0" applyFont="1" applyBorder="1" applyAlignment="1">
      <alignment horizontal="center" vertical="center" wrapText="1"/>
    </xf>
    <xf numFmtId="170" fontId="32" fillId="0" borderId="14" xfId="0" applyNumberFormat="1" applyFont="1" applyBorder="1" applyAlignment="1">
      <alignment horizontal="center" vertical="center" wrapText="1"/>
    </xf>
    <xf numFmtId="0" fontId="9" fillId="0" borderId="6" xfId="0" applyFont="1" applyBorder="1" applyAlignment="1">
      <alignment horizontal="left" vertical="center" wrapText="1" indent="1"/>
    </xf>
    <xf numFmtId="0" fontId="9" fillId="0" borderId="18" xfId="0" applyFont="1" applyBorder="1" applyAlignment="1">
      <alignment horizontal="left" vertical="center" wrapText="1" indent="1"/>
    </xf>
    <xf numFmtId="0" fontId="9" fillId="0" borderId="2" xfId="0" applyFont="1" applyBorder="1" applyAlignment="1">
      <alignment horizontal="left" vertical="center" wrapText="1" indent="1"/>
    </xf>
    <xf numFmtId="0" fontId="32" fillId="0" borderId="17"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29" fillId="35" borderId="13" xfId="15" quotePrefix="1" applyBorder="1" applyAlignment="1" applyProtection="1">
      <alignment horizontal="left" vertical="center" wrapText="1"/>
    </xf>
    <xf numFmtId="0" fontId="29" fillId="35" borderId="8" xfId="15" quotePrefix="1" applyBorder="1" applyAlignment="1" applyProtection="1">
      <alignment horizontal="left" vertical="center" wrapText="1"/>
    </xf>
    <xf numFmtId="0" fontId="29" fillId="35" borderId="13" xfId="15" quotePrefix="1" applyBorder="1" applyAlignment="1" applyProtection="1">
      <alignment horizontal="center" vertical="center" wrapText="1"/>
    </xf>
    <xf numFmtId="0" fontId="29" fillId="35" borderId="8" xfId="15" quotePrefix="1" applyBorder="1" applyAlignment="1" applyProtection="1">
      <alignment horizontal="center" vertical="center" wrapText="1"/>
    </xf>
    <xf numFmtId="0" fontId="29" fillId="35" borderId="14" xfId="15" quotePrefix="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6" fillId="0" borderId="8" xfId="0" applyFont="1" applyBorder="1" applyAlignment="1">
      <alignment horizontal="left" vertical="center" wrapText="1"/>
    </xf>
    <xf numFmtId="0" fontId="7" fillId="7" borderId="1" xfId="0" applyFont="1" applyFill="1" applyBorder="1" applyAlignment="1" applyProtection="1">
      <alignment horizontal="center" vertical="center" wrapText="1"/>
      <protection locked="0"/>
    </xf>
    <xf numFmtId="0" fontId="7" fillId="7" borderId="3" xfId="0" quotePrefix="1" applyFont="1" applyFill="1" applyBorder="1" applyAlignment="1" applyProtection="1">
      <alignment horizontal="center" vertical="center" wrapText="1"/>
      <protection locked="0"/>
    </xf>
    <xf numFmtId="0" fontId="7" fillId="7" borderId="4" xfId="0" quotePrefix="1" applyFont="1" applyFill="1" applyBorder="1" applyAlignment="1" applyProtection="1">
      <alignment horizontal="center" vertical="center" wrapText="1"/>
      <protection locked="0"/>
    </xf>
    <xf numFmtId="0" fontId="7" fillId="7" borderId="5" xfId="0" quotePrefix="1"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29" fillId="17" borderId="0" xfId="15" quotePrefix="1" applyFill="1" applyBorder="1" applyAlignment="1">
      <alignment horizontal="left" vertical="top" wrapText="1"/>
    </xf>
    <xf numFmtId="0" fontId="25" fillId="6" borderId="3" xfId="1" applyNumberFormat="1" applyFont="1" applyFill="1" applyBorder="1" applyAlignment="1" applyProtection="1">
      <alignment horizontal="center" vertical="center" wrapText="1"/>
    </xf>
    <xf numFmtId="0" fontId="25" fillId="6" borderId="4" xfId="1" applyNumberFormat="1" applyFont="1" applyFill="1" applyBorder="1" applyAlignment="1" applyProtection="1">
      <alignment horizontal="center" vertical="center" wrapText="1"/>
    </xf>
    <xf numFmtId="0" fontId="25" fillId="6" borderId="5" xfId="1"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5" fillId="6" borderId="3" xfId="1" applyNumberFormat="1" applyFont="1" applyFill="1" applyBorder="1" applyAlignment="1" applyProtection="1">
      <alignment horizontal="left" vertical="center" wrapText="1"/>
    </xf>
    <xf numFmtId="0" fontId="25" fillId="6" borderId="4" xfId="1" applyNumberFormat="1" applyFont="1" applyFill="1" applyBorder="1" applyAlignment="1" applyProtection="1">
      <alignment horizontal="left" vertical="center" wrapText="1"/>
    </xf>
    <xf numFmtId="0" fontId="25" fillId="6" borderId="5" xfId="1"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0">
    <cellStyle name="40% - Accent1" xfId="9" builtinId="31"/>
    <cellStyle name="40% - Accent1 2" xfId="16"/>
    <cellStyle name="40% - Accent4" xfId="12" builtinId="43"/>
    <cellStyle name="40% - Accent4 2" xfId="17"/>
    <cellStyle name="60% - Accent2" xfId="10" builtinId="36"/>
    <cellStyle name="Accent1" xfId="8" builtinId="29"/>
    <cellStyle name="Accent4" xfId="11" builtinId="41"/>
    <cellStyle name="Accent6" xfId="13" builtinId="49"/>
    <cellStyle name="Comma" xfId="19" builtinId="3"/>
    <cellStyle name="Comma 2" xfId="7"/>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cellStyle name="Normal 3" xfId="14"/>
    <cellStyle name="Text_CEPATNEI" xfId="18"/>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37" t="s">
        <v>123</v>
      </c>
      <c r="B2" s="57"/>
      <c r="C2" s="57"/>
      <c r="D2" s="57"/>
      <c r="E2" s="57"/>
    </row>
    <row r="3" spans="1:8" ht="15" x14ac:dyDescent="0.2">
      <c r="A3" s="61"/>
      <c r="B3" s="133" t="s">
        <v>124</v>
      </c>
      <c r="C3" s="132" t="s">
        <v>127</v>
      </c>
      <c r="D3" s="132" t="s">
        <v>21</v>
      </c>
      <c r="E3" s="132" t="s">
        <v>20</v>
      </c>
    </row>
    <row r="4" spans="1:8" ht="15" x14ac:dyDescent="0.2">
      <c r="A4" s="58" t="s">
        <v>123</v>
      </c>
      <c r="B4" s="27" t="s">
        <v>532</v>
      </c>
      <c r="C4" s="27" t="s">
        <v>533</v>
      </c>
      <c r="D4" s="27" t="s">
        <v>534</v>
      </c>
      <c r="E4" s="27" t="s">
        <v>122</v>
      </c>
    </row>
    <row r="5" spans="1:8" x14ac:dyDescent="0.2">
      <c r="A5" s="57"/>
      <c r="B5" s="57"/>
      <c r="C5" s="57"/>
      <c r="D5" s="57"/>
      <c r="E5" s="57"/>
    </row>
    <row r="6" spans="1:8" ht="16.5" x14ac:dyDescent="0.2">
      <c r="A6" s="60" t="s">
        <v>15</v>
      </c>
      <c r="B6" s="57"/>
      <c r="C6" s="57"/>
      <c r="D6" s="57"/>
      <c r="E6" s="57"/>
    </row>
    <row r="7" spans="1:8" ht="15" x14ac:dyDescent="0.2">
      <c r="A7" s="62" t="s">
        <v>16</v>
      </c>
      <c r="B7" s="236" t="s">
        <v>17</v>
      </c>
      <c r="C7" s="236"/>
      <c r="D7" s="236"/>
      <c r="E7" s="236"/>
    </row>
    <row r="8" spans="1:8" ht="30" customHeight="1" x14ac:dyDescent="0.2">
      <c r="A8" s="66" t="s">
        <v>177</v>
      </c>
      <c r="B8" s="234" t="s">
        <v>166</v>
      </c>
      <c r="C8" s="234"/>
      <c r="D8" s="234"/>
      <c r="E8" s="234"/>
    </row>
    <row r="9" spans="1:8" ht="30" customHeight="1" x14ac:dyDescent="0.2">
      <c r="A9" s="66" t="s">
        <v>38</v>
      </c>
      <c r="B9" s="234"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34"/>
      <c r="D9" s="234"/>
      <c r="E9" s="234"/>
    </row>
    <row r="10" spans="1:8" ht="30" customHeight="1" x14ac:dyDescent="0.2">
      <c r="A10" s="66" t="s">
        <v>39</v>
      </c>
      <c r="B10" s="234" t="s">
        <v>19</v>
      </c>
      <c r="C10" s="234"/>
      <c r="D10" s="234"/>
      <c r="E10" s="234"/>
    </row>
    <row r="11" spans="1:8" ht="61.5" customHeight="1" x14ac:dyDescent="0.2">
      <c r="A11" s="66" t="s">
        <v>40</v>
      </c>
      <c r="B11" s="234"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4"/>
      <c r="D11" s="234"/>
      <c r="E11" s="234"/>
      <c r="F11" s="230"/>
      <c r="G11" s="230"/>
      <c r="H11" s="230"/>
    </row>
    <row r="12" spans="1:8" ht="86.25" customHeight="1" x14ac:dyDescent="0.2">
      <c r="A12" s="66" t="s">
        <v>28</v>
      </c>
      <c r="B12" s="233" t="s">
        <v>140</v>
      </c>
      <c r="C12" s="233"/>
      <c r="D12" s="233"/>
      <c r="E12" s="233"/>
    </row>
    <row r="13" spans="1:8" ht="33.75" customHeight="1" x14ac:dyDescent="0.2">
      <c r="A13" s="66" t="s">
        <v>141</v>
      </c>
      <c r="B13" s="234"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34"/>
      <c r="D13" s="234"/>
      <c r="E13" s="234"/>
    </row>
    <row r="14" spans="1:8" ht="33.75" customHeight="1" x14ac:dyDescent="0.2">
      <c r="A14" s="185" t="s">
        <v>516</v>
      </c>
      <c r="B14" s="234" t="s">
        <v>517</v>
      </c>
      <c r="C14" s="234"/>
      <c r="D14" s="234"/>
      <c r="E14" s="234"/>
    </row>
    <row r="15" spans="1:8" ht="29.25" customHeight="1" x14ac:dyDescent="0.2">
      <c r="A15" s="66" t="s">
        <v>31</v>
      </c>
      <c r="B15" s="234" t="s">
        <v>108</v>
      </c>
      <c r="C15" s="234"/>
      <c r="D15" s="234"/>
      <c r="E15" s="234"/>
    </row>
    <row r="16" spans="1:8" ht="30" customHeight="1" x14ac:dyDescent="0.2">
      <c r="A16" s="66" t="s">
        <v>82</v>
      </c>
      <c r="B16" s="234" t="s">
        <v>81</v>
      </c>
      <c r="C16" s="234"/>
      <c r="D16" s="234"/>
      <c r="E16" s="234"/>
    </row>
    <row r="17" spans="1:5" x14ac:dyDescent="0.2">
      <c r="A17" s="57"/>
      <c r="B17" s="57"/>
      <c r="C17" s="57"/>
      <c r="D17" s="57"/>
      <c r="E17" s="57"/>
    </row>
    <row r="18" spans="1:5" ht="15" x14ac:dyDescent="0.2">
      <c r="A18" s="63" t="s">
        <v>26</v>
      </c>
      <c r="B18" s="57"/>
      <c r="C18" s="57"/>
      <c r="D18" s="57"/>
      <c r="E18" s="57"/>
    </row>
    <row r="19" spans="1:5" ht="15" x14ac:dyDescent="0.2">
      <c r="A19" s="62"/>
      <c r="B19" s="235"/>
      <c r="C19" s="235"/>
      <c r="D19" s="235"/>
      <c r="E19" s="235"/>
    </row>
    <row r="20" spans="1:5" ht="32.25" customHeight="1" x14ac:dyDescent="0.2">
      <c r="A20" s="231" t="s">
        <v>66</v>
      </c>
      <c r="B20" s="232"/>
      <c r="C20" s="232"/>
      <c r="D20" s="232"/>
      <c r="E20" s="232"/>
    </row>
    <row r="21" spans="1:5" x14ac:dyDescent="0.2">
      <c r="A21" s="57"/>
      <c r="B21" s="57"/>
      <c r="C21" s="57"/>
      <c r="D21" s="57"/>
      <c r="E21" s="57"/>
    </row>
    <row r="22" spans="1:5" ht="15" x14ac:dyDescent="0.2">
      <c r="A22" s="64" t="s">
        <v>27</v>
      </c>
      <c r="B22" s="57"/>
      <c r="C22" s="57"/>
      <c r="D22" s="57"/>
      <c r="E22" s="57"/>
    </row>
    <row r="23" spans="1:5" ht="15" x14ac:dyDescent="0.2">
      <c r="A23" s="59"/>
      <c r="B23" s="235"/>
      <c r="C23" s="235"/>
      <c r="D23" s="235"/>
      <c r="E23" s="235"/>
    </row>
    <row r="24" spans="1:5" ht="28.5" customHeight="1" x14ac:dyDescent="0.2">
      <c r="A24" s="231" t="s">
        <v>41</v>
      </c>
      <c r="B24" s="232"/>
      <c r="C24" s="232"/>
      <c r="D24" s="232"/>
      <c r="E24" s="232"/>
    </row>
    <row r="25" spans="1:5" ht="28.5" customHeight="1" x14ac:dyDescent="0.2">
      <c r="A25" s="229" t="s">
        <v>121</v>
      </c>
      <c r="B25" s="229"/>
      <c r="C25" s="229"/>
      <c r="D25" s="229"/>
      <c r="E25" s="229"/>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A20:E20"/>
    <mergeCell ref="A24:E24"/>
    <mergeCell ref="B12:E12"/>
    <mergeCell ref="B15:E15"/>
    <mergeCell ref="B13:E13"/>
    <mergeCell ref="B16:E16"/>
    <mergeCell ref="B19:E19"/>
    <mergeCell ref="B23:E23"/>
    <mergeCell ref="B14:E14"/>
  </mergeCells>
  <hyperlinks>
    <hyperlink ref="A8" location="'Annex 1 LV, HV and UMS charges'!A1" display="Annex 1 LV, HV and Unmetered Supplies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5" location="'Nodal prices'!A1" display="Nodal prices"/>
    <hyperlink ref="A13" location="'Annex 6 New or Amended EHV'!A1" display="Annex 6  Charges for New or Amended Designated EHV Properties"/>
    <hyperlink ref="A16" location="'Charge Calculator'!B10" display="Charge calculator"/>
    <hyperlink ref="A14" location="'Annex 7 Pass-Through Costs'!A1" display="Annex 7  Fixed adders for Supplier of Last Resort and Eligible Bad Debt pass-through costs"/>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31"/>
  <sheetViews>
    <sheetView zoomScale="85" zoomScaleNormal="85" zoomScaleSheetLayoutView="100" workbookViewId="0"/>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7"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89" t="s">
        <v>18</v>
      </c>
      <c r="B1" s="243" t="s">
        <v>137</v>
      </c>
      <c r="C1" s="244"/>
      <c r="D1" s="244"/>
      <c r="E1" s="242"/>
      <c r="F1" s="242"/>
      <c r="G1" s="242"/>
      <c r="H1" s="242"/>
      <c r="I1" s="242"/>
      <c r="J1" s="242"/>
      <c r="K1" s="242"/>
      <c r="L1" s="41"/>
      <c r="M1" s="41"/>
      <c r="N1" s="41"/>
      <c r="O1" s="41"/>
    </row>
    <row r="2" spans="1:15" ht="27" customHeight="1" x14ac:dyDescent="0.2">
      <c r="A2" s="245" t="str">
        <f>Overview!B4&amp; " - Effective from "&amp;Overview!D4&amp;" - "&amp;Overview!E4&amp;" LV and HV charges"</f>
        <v>South Eastern Power Networks - Effective from 1 April 2021 - Final LV and HV charges</v>
      </c>
      <c r="B2" s="245"/>
      <c r="C2" s="245"/>
      <c r="D2" s="245"/>
      <c r="E2" s="245"/>
      <c r="F2" s="245"/>
      <c r="G2" s="245"/>
      <c r="H2" s="245"/>
      <c r="I2" s="245"/>
      <c r="J2" s="245"/>
      <c r="K2" s="245"/>
    </row>
    <row r="3" spans="1:15" s="78" customFormat="1" ht="15" customHeight="1" x14ac:dyDescent="0.2">
      <c r="A3" s="76"/>
      <c r="B3" s="76"/>
      <c r="C3" s="76"/>
      <c r="D3" s="76"/>
      <c r="E3" s="76"/>
      <c r="F3" s="76"/>
      <c r="G3" s="76"/>
      <c r="H3" s="76"/>
      <c r="I3" s="76"/>
      <c r="J3" s="76"/>
      <c r="K3" s="76"/>
      <c r="L3" s="77"/>
      <c r="M3" s="77"/>
    </row>
    <row r="4" spans="1:15" ht="27" customHeight="1" x14ac:dyDescent="0.2">
      <c r="A4" s="245" t="s">
        <v>160</v>
      </c>
      <c r="B4" s="245"/>
      <c r="C4" s="245"/>
      <c r="D4" s="245"/>
      <c r="E4" s="245"/>
      <c r="F4" s="76"/>
      <c r="G4" s="245" t="s">
        <v>161</v>
      </c>
      <c r="H4" s="245"/>
      <c r="I4" s="245"/>
      <c r="J4" s="245"/>
      <c r="K4" s="245"/>
    </row>
    <row r="5" spans="1:15" ht="28.5" customHeight="1" x14ac:dyDescent="0.2">
      <c r="A5" s="67" t="s">
        <v>12</v>
      </c>
      <c r="B5" s="72" t="s">
        <v>57</v>
      </c>
      <c r="C5" s="246" t="s">
        <v>58</v>
      </c>
      <c r="D5" s="247"/>
      <c r="E5" s="69" t="s">
        <v>59</v>
      </c>
      <c r="F5" s="76"/>
      <c r="G5" s="249"/>
      <c r="H5" s="250"/>
      <c r="I5" s="73" t="s">
        <v>63</v>
      </c>
      <c r="J5" s="74" t="s">
        <v>64</v>
      </c>
      <c r="K5" s="69" t="s">
        <v>59</v>
      </c>
      <c r="L5" s="76"/>
      <c r="N5" s="4"/>
    </row>
    <row r="6" spans="1:15" ht="65.25" customHeight="1" x14ac:dyDescent="0.2">
      <c r="A6" s="70" t="s">
        <v>60</v>
      </c>
      <c r="B6" s="21" t="s">
        <v>535</v>
      </c>
      <c r="C6" s="248" t="s">
        <v>536</v>
      </c>
      <c r="D6" s="248"/>
      <c r="E6" s="191" t="s">
        <v>537</v>
      </c>
      <c r="F6" s="76"/>
      <c r="G6" s="251" t="s">
        <v>61</v>
      </c>
      <c r="H6" s="251"/>
      <c r="I6" s="21" t="s">
        <v>535</v>
      </c>
      <c r="J6" s="75" t="s">
        <v>536</v>
      </c>
      <c r="K6" s="191" t="s">
        <v>537</v>
      </c>
      <c r="L6" s="76"/>
      <c r="N6" s="4"/>
    </row>
    <row r="7" spans="1:15" ht="65.25" customHeight="1" x14ac:dyDescent="0.2">
      <c r="A7" s="70" t="s">
        <v>14</v>
      </c>
      <c r="B7" s="187"/>
      <c r="C7" s="252"/>
      <c r="D7" s="252"/>
      <c r="E7" s="75" t="s">
        <v>538</v>
      </c>
      <c r="F7" s="76"/>
      <c r="G7" s="251" t="s">
        <v>540</v>
      </c>
      <c r="H7" s="251"/>
      <c r="I7" s="187"/>
      <c r="J7" s="75" t="s">
        <v>541</v>
      </c>
      <c r="K7" s="191" t="s">
        <v>537</v>
      </c>
      <c r="L7" s="76"/>
      <c r="N7" s="4"/>
    </row>
    <row r="8" spans="1:15" ht="65.25" customHeight="1" x14ac:dyDescent="0.2">
      <c r="A8" s="71" t="s">
        <v>13</v>
      </c>
      <c r="B8" s="237" t="s">
        <v>539</v>
      </c>
      <c r="C8" s="253"/>
      <c r="D8" s="253"/>
      <c r="E8" s="238"/>
      <c r="F8" s="76"/>
      <c r="G8" s="237" t="s">
        <v>14</v>
      </c>
      <c r="H8" s="238"/>
      <c r="I8" s="187"/>
      <c r="J8" s="187"/>
      <c r="K8" s="75" t="s">
        <v>538</v>
      </c>
      <c r="L8" s="76"/>
      <c r="N8" s="4"/>
    </row>
    <row r="9" spans="1:15" s="68" customFormat="1" ht="65.25" customHeight="1" x14ac:dyDescent="0.2">
      <c r="A9" s="78"/>
      <c r="F9" s="76"/>
      <c r="G9" s="254" t="s">
        <v>13</v>
      </c>
      <c r="H9" s="254"/>
      <c r="I9" s="239" t="s">
        <v>539</v>
      </c>
      <c r="J9" s="240"/>
      <c r="K9" s="241"/>
      <c r="L9" s="76"/>
      <c r="M9" s="39"/>
      <c r="N9" s="39"/>
    </row>
    <row r="10" spans="1:15" s="78" customFormat="1" ht="12.75" customHeight="1" x14ac:dyDescent="0.2">
      <c r="A10" s="76"/>
      <c r="B10" s="76"/>
      <c r="C10" s="76"/>
      <c r="D10" s="76"/>
      <c r="E10" s="76"/>
      <c r="F10" s="76"/>
      <c r="G10" s="76"/>
      <c r="H10" s="76"/>
      <c r="I10" s="76"/>
      <c r="J10" s="76"/>
      <c r="K10" s="76"/>
      <c r="L10" s="77"/>
      <c r="M10" s="77"/>
    </row>
    <row r="11" spans="1:15" ht="78.75" customHeight="1" x14ac:dyDescent="0.2">
      <c r="A11" s="26" t="s">
        <v>128</v>
      </c>
      <c r="B11" s="144" t="s">
        <v>22</v>
      </c>
      <c r="C11" s="147" t="s">
        <v>23</v>
      </c>
      <c r="D11" s="44" t="s">
        <v>163</v>
      </c>
      <c r="E11" s="44" t="s">
        <v>165</v>
      </c>
      <c r="F11" s="44" t="s">
        <v>164</v>
      </c>
      <c r="G11" s="144" t="s">
        <v>24</v>
      </c>
      <c r="H11" s="144" t="s">
        <v>25</v>
      </c>
      <c r="I11" s="26" t="s">
        <v>130</v>
      </c>
      <c r="J11" s="144" t="s">
        <v>32</v>
      </c>
      <c r="K11" s="144" t="s">
        <v>0</v>
      </c>
    </row>
    <row r="12" spans="1:15" ht="32.25" customHeight="1" x14ac:dyDescent="0.2">
      <c r="A12" s="16" t="s">
        <v>143</v>
      </c>
      <c r="B12" s="30" t="s">
        <v>518</v>
      </c>
      <c r="C12" s="188" t="s">
        <v>527</v>
      </c>
      <c r="D12" s="139">
        <v>16.864999999999998</v>
      </c>
      <c r="E12" s="140">
        <v>1.208</v>
      </c>
      <c r="F12" s="141">
        <v>0.66500000000000004</v>
      </c>
      <c r="G12" s="35">
        <v>3.99</v>
      </c>
      <c r="H12" s="36"/>
      <c r="I12" s="36"/>
      <c r="J12" s="32"/>
      <c r="K12" s="33" t="s">
        <v>559</v>
      </c>
    </row>
    <row r="13" spans="1:15" ht="32.25" customHeight="1" x14ac:dyDescent="0.2">
      <c r="A13" s="16" t="s">
        <v>144</v>
      </c>
      <c r="B13" s="30" t="s">
        <v>1661</v>
      </c>
      <c r="C13" s="188" t="s">
        <v>420</v>
      </c>
      <c r="D13" s="139">
        <v>16.864999999999998</v>
      </c>
      <c r="E13" s="140">
        <v>1.208</v>
      </c>
      <c r="F13" s="141">
        <v>0.66500000000000004</v>
      </c>
      <c r="G13" s="36"/>
      <c r="H13" s="36"/>
      <c r="I13" s="36"/>
      <c r="J13" s="32"/>
      <c r="K13" s="33" t="s">
        <v>560</v>
      </c>
    </row>
    <row r="14" spans="1:15" ht="50.25" customHeight="1" x14ac:dyDescent="0.2">
      <c r="A14" s="16" t="s">
        <v>145</v>
      </c>
      <c r="B14" s="219" t="s">
        <v>1662</v>
      </c>
      <c r="C14" s="188" t="s">
        <v>528</v>
      </c>
      <c r="D14" s="139">
        <v>13.204000000000001</v>
      </c>
      <c r="E14" s="140">
        <v>1.0620000000000001</v>
      </c>
      <c r="F14" s="141">
        <v>0.64100000000000001</v>
      </c>
      <c r="G14" s="35">
        <v>4.1399999999999997</v>
      </c>
      <c r="H14" s="36"/>
      <c r="I14" s="36"/>
      <c r="J14" s="32"/>
      <c r="K14" s="33" t="s">
        <v>561</v>
      </c>
    </row>
    <row r="15" spans="1:15" ht="32.25" customHeight="1" x14ac:dyDescent="0.2">
      <c r="A15" s="16" t="s">
        <v>146</v>
      </c>
      <c r="B15" s="30">
        <v>287</v>
      </c>
      <c r="C15" s="188" t="s">
        <v>421</v>
      </c>
      <c r="D15" s="139">
        <v>13.204000000000001</v>
      </c>
      <c r="E15" s="140">
        <v>1.0620000000000001</v>
      </c>
      <c r="F15" s="141">
        <v>0.64100000000000001</v>
      </c>
      <c r="G15" s="36"/>
      <c r="H15" s="36"/>
      <c r="I15" s="36"/>
      <c r="J15" s="32"/>
      <c r="K15" s="33">
        <v>297</v>
      </c>
    </row>
    <row r="16" spans="1:15" ht="32.25" customHeight="1" x14ac:dyDescent="0.2">
      <c r="A16" s="16" t="s">
        <v>147</v>
      </c>
      <c r="B16" s="33" t="s">
        <v>1663</v>
      </c>
      <c r="C16" s="188">
        <v>0</v>
      </c>
      <c r="D16" s="139">
        <v>9.09</v>
      </c>
      <c r="E16" s="140">
        <v>0.88100000000000001</v>
      </c>
      <c r="F16" s="141">
        <v>0.61</v>
      </c>
      <c r="G16" s="35">
        <v>11.31</v>
      </c>
      <c r="H16" s="35">
        <v>3.68</v>
      </c>
      <c r="I16" s="138">
        <v>7.12</v>
      </c>
      <c r="J16" s="31">
        <v>0.27600000000000002</v>
      </c>
      <c r="K16" s="33"/>
    </row>
    <row r="17" spans="1:11" ht="32.25" customHeight="1" x14ac:dyDescent="0.2">
      <c r="A17" s="16" t="s">
        <v>148</v>
      </c>
      <c r="B17" s="33" t="s">
        <v>1664</v>
      </c>
      <c r="C17" s="188">
        <v>0</v>
      </c>
      <c r="D17" s="139">
        <v>5.8479999999999999</v>
      </c>
      <c r="E17" s="140">
        <v>0.73499999999999999</v>
      </c>
      <c r="F17" s="141">
        <v>0.58499999999999996</v>
      </c>
      <c r="G17" s="35">
        <v>8.39</v>
      </c>
      <c r="H17" s="35">
        <v>5.7</v>
      </c>
      <c r="I17" s="138">
        <v>7.43</v>
      </c>
      <c r="J17" s="31">
        <v>0.161</v>
      </c>
      <c r="K17" s="33"/>
    </row>
    <row r="18" spans="1:11" ht="32.25" customHeight="1" x14ac:dyDescent="0.2">
      <c r="A18" s="16" t="s">
        <v>149</v>
      </c>
      <c r="B18" s="33" t="s">
        <v>1665</v>
      </c>
      <c r="C18" s="188">
        <v>0</v>
      </c>
      <c r="D18" s="139">
        <v>5.4710000000000001</v>
      </c>
      <c r="E18" s="140">
        <v>0.71299999999999997</v>
      </c>
      <c r="F18" s="141">
        <v>0.57999999999999996</v>
      </c>
      <c r="G18" s="35">
        <v>111.11</v>
      </c>
      <c r="H18" s="35">
        <v>4.2699999999999996</v>
      </c>
      <c r="I18" s="138">
        <v>6.63</v>
      </c>
      <c r="J18" s="31">
        <v>0.151</v>
      </c>
      <c r="K18" s="33"/>
    </row>
    <row r="19" spans="1:11" ht="32.25" customHeight="1" x14ac:dyDescent="0.2">
      <c r="A19" s="16" t="s">
        <v>1468</v>
      </c>
      <c r="B19" s="33" t="s">
        <v>1666</v>
      </c>
      <c r="C19" s="188" t="s">
        <v>531</v>
      </c>
      <c r="D19" s="139">
        <v>8.5310000000000006</v>
      </c>
      <c r="E19" s="140">
        <v>0.32100000000000001</v>
      </c>
      <c r="F19" s="141">
        <v>0.05</v>
      </c>
      <c r="G19" s="35">
        <v>11.31</v>
      </c>
      <c r="H19" s="35">
        <v>3.68</v>
      </c>
      <c r="I19" s="138">
        <v>7.12</v>
      </c>
      <c r="J19" s="31">
        <v>0.27600000000000002</v>
      </c>
      <c r="K19" s="33"/>
    </row>
    <row r="20" spans="1:11" ht="32.25" customHeight="1" x14ac:dyDescent="0.2">
      <c r="A20" s="16" t="s">
        <v>1469</v>
      </c>
      <c r="B20" s="33" t="s">
        <v>1667</v>
      </c>
      <c r="C20" s="188" t="s">
        <v>531</v>
      </c>
      <c r="D20" s="139">
        <v>5.2889999999999997</v>
      </c>
      <c r="E20" s="140">
        <v>0.17599999999999999</v>
      </c>
      <c r="F20" s="141">
        <v>2.5000000000000001E-2</v>
      </c>
      <c r="G20" s="35">
        <v>8.39</v>
      </c>
      <c r="H20" s="35">
        <v>5.7</v>
      </c>
      <c r="I20" s="138">
        <v>7.43</v>
      </c>
      <c r="J20" s="31">
        <v>0.161</v>
      </c>
      <c r="K20" s="33"/>
    </row>
    <row r="21" spans="1:11" ht="32.25" customHeight="1" x14ac:dyDescent="0.2">
      <c r="A21" s="16" t="s">
        <v>1470</v>
      </c>
      <c r="B21" s="33" t="s">
        <v>1668</v>
      </c>
      <c r="C21" s="188" t="s">
        <v>531</v>
      </c>
      <c r="D21" s="139">
        <v>4.9109999999999996</v>
      </c>
      <c r="E21" s="140">
        <v>0.153</v>
      </c>
      <c r="F21" s="141">
        <v>2.1000000000000001E-2</v>
      </c>
      <c r="G21" s="35">
        <v>111.11</v>
      </c>
      <c r="H21" s="35">
        <v>4.2699999999999996</v>
      </c>
      <c r="I21" s="138">
        <v>6.63</v>
      </c>
      <c r="J21" s="31">
        <v>0.151</v>
      </c>
      <c r="K21" s="33"/>
    </row>
    <row r="22" spans="1:11" ht="90" x14ac:dyDescent="0.2">
      <c r="A22" s="16" t="s">
        <v>150</v>
      </c>
      <c r="B22" s="33" t="s">
        <v>519</v>
      </c>
      <c r="C22" s="188" t="s">
        <v>529</v>
      </c>
      <c r="D22" s="142">
        <v>40.302</v>
      </c>
      <c r="E22" s="143">
        <v>1.7889999999999999</v>
      </c>
      <c r="F22" s="141">
        <v>1.3169999999999999</v>
      </c>
      <c r="G22" s="36"/>
      <c r="H22" s="36"/>
      <c r="I22" s="36"/>
      <c r="J22" s="32"/>
      <c r="K22" s="33"/>
    </row>
    <row r="23" spans="1:11" ht="32.25" customHeight="1" x14ac:dyDescent="0.2">
      <c r="A23" s="16" t="s">
        <v>151</v>
      </c>
      <c r="B23" s="34">
        <v>932</v>
      </c>
      <c r="C23" s="188" t="s">
        <v>530</v>
      </c>
      <c r="D23" s="139">
        <v>-9.2620000000000005</v>
      </c>
      <c r="E23" s="140">
        <v>-0.36799999999999999</v>
      </c>
      <c r="F23" s="141">
        <v>-0.06</v>
      </c>
      <c r="G23" s="35">
        <v>0</v>
      </c>
      <c r="H23" s="36"/>
      <c r="I23" s="36"/>
      <c r="J23" s="32"/>
      <c r="K23" s="33" t="s">
        <v>562</v>
      </c>
    </row>
    <row r="24" spans="1:11" ht="32.25" customHeight="1" x14ac:dyDescent="0.2">
      <c r="A24" s="16" t="s">
        <v>152</v>
      </c>
      <c r="B24" s="190"/>
      <c r="C24" s="188">
        <v>0</v>
      </c>
      <c r="D24" s="139">
        <v>-8.2729999999999997</v>
      </c>
      <c r="E24" s="140">
        <v>-0.318</v>
      </c>
      <c r="F24" s="141">
        <v>-5.0999999999999997E-2</v>
      </c>
      <c r="G24" s="35">
        <v>0</v>
      </c>
      <c r="H24" s="36"/>
      <c r="I24" s="36"/>
      <c r="J24" s="32"/>
      <c r="K24" s="33"/>
    </row>
    <row r="25" spans="1:11" ht="32.25" customHeight="1" x14ac:dyDescent="0.2">
      <c r="A25" s="16" t="s">
        <v>153</v>
      </c>
      <c r="B25" s="33" t="s">
        <v>520</v>
      </c>
      <c r="C25" s="188">
        <v>0</v>
      </c>
      <c r="D25" s="139">
        <v>-9.2620000000000005</v>
      </c>
      <c r="E25" s="140">
        <v>-0.36799999999999999</v>
      </c>
      <c r="F25" s="141">
        <v>-0.06</v>
      </c>
      <c r="G25" s="35">
        <v>0</v>
      </c>
      <c r="H25" s="36"/>
      <c r="I25" s="36"/>
      <c r="J25" s="31">
        <v>0.26700000000000002</v>
      </c>
      <c r="K25" s="33"/>
    </row>
    <row r="26" spans="1:11" ht="32.25" customHeight="1" x14ac:dyDescent="0.2">
      <c r="A26" s="16" t="s">
        <v>154</v>
      </c>
      <c r="B26" s="33" t="s">
        <v>521</v>
      </c>
      <c r="C26" s="188">
        <v>0</v>
      </c>
      <c r="D26" s="139">
        <v>-9.2620000000000005</v>
      </c>
      <c r="E26" s="140">
        <v>-0.36799999999999999</v>
      </c>
      <c r="F26" s="141">
        <v>-0.06</v>
      </c>
      <c r="G26" s="35">
        <v>0</v>
      </c>
      <c r="H26" s="36"/>
      <c r="I26" s="36"/>
      <c r="J26" s="32"/>
      <c r="K26" s="33"/>
    </row>
    <row r="27" spans="1:11" ht="32.25" customHeight="1" x14ac:dyDescent="0.2">
      <c r="A27" s="16" t="s">
        <v>155</v>
      </c>
      <c r="B27" s="33" t="s">
        <v>522</v>
      </c>
      <c r="C27" s="189">
        <v>0</v>
      </c>
      <c r="D27" s="139">
        <v>-8.2729999999999997</v>
      </c>
      <c r="E27" s="140">
        <v>-0.318</v>
      </c>
      <c r="F27" s="141">
        <v>-5.0999999999999997E-2</v>
      </c>
      <c r="G27" s="35">
        <v>0</v>
      </c>
      <c r="H27" s="36"/>
      <c r="I27" s="36"/>
      <c r="J27" s="31">
        <v>0.24299999999999999</v>
      </c>
      <c r="K27" s="33"/>
    </row>
    <row r="28" spans="1:11" ht="32.25" customHeight="1" x14ac:dyDescent="0.2">
      <c r="A28" s="16" t="s">
        <v>156</v>
      </c>
      <c r="B28" s="33" t="s">
        <v>523</v>
      </c>
      <c r="C28" s="189">
        <v>0</v>
      </c>
      <c r="D28" s="139">
        <v>-8.2729999999999997</v>
      </c>
      <c r="E28" s="140">
        <v>-0.318</v>
      </c>
      <c r="F28" s="141">
        <v>-5.0999999999999997E-2</v>
      </c>
      <c r="G28" s="35">
        <v>0</v>
      </c>
      <c r="H28" s="36"/>
      <c r="I28" s="36"/>
      <c r="J28" s="32"/>
      <c r="K28" s="33"/>
    </row>
    <row r="29" spans="1:11" ht="32.25" customHeight="1" x14ac:dyDescent="0.2">
      <c r="A29" s="16" t="s">
        <v>157</v>
      </c>
      <c r="B29" s="33" t="s">
        <v>524</v>
      </c>
      <c r="C29" s="189">
        <v>0</v>
      </c>
      <c r="D29" s="139">
        <v>-5.7690000000000001</v>
      </c>
      <c r="E29" s="140">
        <v>-0.189</v>
      </c>
      <c r="F29" s="141">
        <v>-2.7E-2</v>
      </c>
      <c r="G29" s="35">
        <v>9.39</v>
      </c>
      <c r="H29" s="36"/>
      <c r="I29" s="36"/>
      <c r="J29" s="31">
        <v>0.19600000000000001</v>
      </c>
      <c r="K29" s="33"/>
    </row>
    <row r="30" spans="1:11" ht="32.25" customHeight="1" x14ac:dyDescent="0.2">
      <c r="A30" s="16" t="s">
        <v>158</v>
      </c>
      <c r="B30" s="33" t="s">
        <v>525</v>
      </c>
      <c r="C30" s="189">
        <v>0</v>
      </c>
      <c r="D30" s="139">
        <v>-5.7690000000000001</v>
      </c>
      <c r="E30" s="140">
        <v>-0.189</v>
      </c>
      <c r="F30" s="141">
        <v>-2.7E-2</v>
      </c>
      <c r="G30" s="35">
        <v>9.39</v>
      </c>
      <c r="H30" s="36"/>
      <c r="I30" s="36"/>
      <c r="J30" s="32"/>
      <c r="K30" s="33"/>
    </row>
    <row r="31" spans="1:11" ht="27.75" customHeight="1" x14ac:dyDescent="0.2">
      <c r="C31"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5">
    <mergeCell ref="G8:H8"/>
    <mergeCell ref="I9:K9"/>
    <mergeCell ref="E1:K1"/>
    <mergeCell ref="B1:D1"/>
    <mergeCell ref="A2:K2"/>
    <mergeCell ref="C5:D5"/>
    <mergeCell ref="C6:D6"/>
    <mergeCell ref="G5:H5"/>
    <mergeCell ref="G6:H6"/>
    <mergeCell ref="G4:K4"/>
    <mergeCell ref="A4:E4"/>
    <mergeCell ref="C7:D7"/>
    <mergeCell ref="B8:E8"/>
    <mergeCell ref="G9:H9"/>
    <mergeCell ref="G7:H7"/>
  </mergeCells>
  <phoneticPr fontId="5"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6" fitToHeight="0" orientation="portrait" r:id="rId2"/>
  <headerFooter scaleWithDoc="0">
    <oddHeader>&amp;L&amp;"Arial,Bold"
&amp;"Arial,Regular"Annex 1 - Schedule of Charges for use of the Distribution System by LV and HV Designated Properties</oddHeader>
    <oddFooter>&amp;R&amp;P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259"/>
  <sheetViews>
    <sheetView topLeftCell="A46" zoomScale="85" zoomScaleNormal="85" zoomScaleSheetLayoutView="100" workbookViewId="0">
      <selection activeCell="A51" activeCellId="1" sqref="A47:O47 A51:O51"/>
    </sheetView>
  </sheetViews>
  <sheetFormatPr defaultRowHeight="12.75" x14ac:dyDescent="0.2"/>
  <cols>
    <col min="1" max="1" width="14.5703125" style="42" customWidth="1"/>
    <col min="2" max="2" width="7.28515625" style="42" customWidth="1"/>
    <col min="3" max="3" width="17.140625" style="42" customWidth="1"/>
    <col min="4" max="4" width="14.7109375" style="50" customWidth="1"/>
    <col min="5" max="5" width="7.140625" style="50" customWidth="1"/>
    <col min="6" max="6" width="17.28515625" style="50" customWidth="1"/>
    <col min="7" max="7" width="21" style="50" customWidth="1"/>
    <col min="8" max="8" width="14.7109375" style="50" customWidth="1"/>
    <col min="9" max="9" width="14.7109375" style="51" customWidth="1"/>
    <col min="10" max="11" width="14.7109375" style="52" customWidth="1"/>
    <col min="12" max="15" width="14.7109375" style="42" customWidth="1"/>
    <col min="16" max="16384" width="9.140625" style="42"/>
  </cols>
  <sheetData>
    <row r="1" spans="1:15" x14ac:dyDescent="0.2">
      <c r="A1" s="40" t="s">
        <v>18</v>
      </c>
      <c r="B1" s="40"/>
      <c r="C1" s="257" t="s">
        <v>125</v>
      </c>
      <c r="D1" s="257"/>
      <c r="E1" s="41"/>
      <c r="F1" s="256" t="s">
        <v>30</v>
      </c>
      <c r="G1" s="256"/>
      <c r="H1" s="256"/>
      <c r="I1" s="256"/>
      <c r="J1" s="256"/>
      <c r="K1" s="256"/>
      <c r="L1" s="256"/>
      <c r="M1" s="256"/>
      <c r="N1" s="256"/>
      <c r="O1" s="256"/>
    </row>
    <row r="2" spans="1:15" s="43" customFormat="1" ht="18" x14ac:dyDescent="0.2">
      <c r="A2" s="245" t="str">
        <f>Overview!B4&amp; " - Effective from "&amp;Overview!D4&amp;" - "&amp;Overview!E4&amp;" EDCM charges"</f>
        <v>South Eastern Power Networks - Effective from 1 April 2021 - Final EDCM charges</v>
      </c>
      <c r="B2" s="245"/>
      <c r="C2" s="245"/>
      <c r="D2" s="245"/>
      <c r="E2" s="245"/>
      <c r="F2" s="245"/>
      <c r="G2" s="245"/>
      <c r="H2" s="245"/>
      <c r="I2" s="245"/>
      <c r="J2" s="245"/>
      <c r="K2" s="245"/>
      <c r="L2" s="245"/>
      <c r="M2" s="245"/>
      <c r="N2" s="245"/>
      <c r="O2" s="245"/>
    </row>
    <row r="3" spans="1:15" s="79" customFormat="1" ht="18" x14ac:dyDescent="0.2">
      <c r="A3" s="76"/>
      <c r="B3" s="76"/>
      <c r="C3" s="76"/>
      <c r="D3" s="76"/>
      <c r="E3" s="76"/>
      <c r="F3" s="76"/>
      <c r="G3" s="76"/>
      <c r="H3" s="76"/>
      <c r="I3" s="76"/>
      <c r="J3" s="76"/>
      <c r="K3" s="76"/>
      <c r="L3" s="76"/>
      <c r="M3" s="76"/>
      <c r="N3" s="76"/>
      <c r="O3" s="76"/>
    </row>
    <row r="4" spans="1:15" s="79" customFormat="1" ht="18" x14ac:dyDescent="0.2">
      <c r="A4" s="245" t="s">
        <v>65</v>
      </c>
      <c r="B4" s="245"/>
      <c r="C4" s="245"/>
      <c r="D4" s="245"/>
      <c r="E4" s="245"/>
      <c r="F4" s="245"/>
      <c r="G4" s="76"/>
      <c r="H4" s="76"/>
      <c r="I4" s="76"/>
      <c r="J4" s="76"/>
      <c r="K4" s="76"/>
      <c r="L4" s="76"/>
      <c r="M4" s="76"/>
      <c r="N4" s="76"/>
      <c r="O4" s="76"/>
    </row>
    <row r="5" spans="1:15" s="79" customFormat="1" ht="18" x14ac:dyDescent="0.2">
      <c r="A5" s="259" t="s">
        <v>12</v>
      </c>
      <c r="B5" s="260"/>
      <c r="C5" s="260"/>
      <c r="D5" s="255" t="s">
        <v>62</v>
      </c>
      <c r="E5" s="255"/>
      <c r="F5" s="255"/>
      <c r="G5" s="76"/>
      <c r="H5" s="76"/>
      <c r="I5" s="76"/>
      <c r="J5" s="76"/>
      <c r="K5" s="76"/>
      <c r="L5" s="76"/>
      <c r="M5" s="76"/>
      <c r="N5" s="76"/>
      <c r="O5" s="76"/>
    </row>
    <row r="6" spans="1:15" s="79" customFormat="1" ht="47.25" customHeight="1" x14ac:dyDescent="0.2">
      <c r="A6" s="251" t="s">
        <v>61</v>
      </c>
      <c r="B6" s="251"/>
      <c r="C6" s="251"/>
      <c r="D6" s="248" t="s">
        <v>535</v>
      </c>
      <c r="E6" s="248"/>
      <c r="F6" s="248"/>
      <c r="G6" s="76"/>
      <c r="H6" s="76"/>
      <c r="I6" s="76"/>
      <c r="J6" s="76"/>
      <c r="K6" s="76"/>
      <c r="L6" s="76"/>
      <c r="M6" s="76"/>
      <c r="N6" s="76"/>
      <c r="O6" s="76"/>
    </row>
    <row r="7" spans="1:15" s="79" customFormat="1" ht="18" x14ac:dyDescent="0.2">
      <c r="A7" s="251" t="s">
        <v>13</v>
      </c>
      <c r="B7" s="251"/>
      <c r="C7" s="251"/>
      <c r="D7" s="258" t="s">
        <v>539</v>
      </c>
      <c r="E7" s="258"/>
      <c r="F7" s="258"/>
      <c r="G7" s="76"/>
      <c r="H7" s="76"/>
      <c r="I7" s="76"/>
      <c r="J7" s="76"/>
      <c r="K7" s="76"/>
      <c r="L7" s="76"/>
      <c r="M7" s="76"/>
      <c r="N7" s="76"/>
      <c r="O7" s="76"/>
    </row>
    <row r="8" spans="1:15" s="79" customFormat="1" ht="18" x14ac:dyDescent="0.2">
      <c r="A8" s="76"/>
      <c r="B8" s="76"/>
      <c r="C8" s="76"/>
      <c r="D8" s="76"/>
      <c r="E8" s="76"/>
      <c r="F8" s="76"/>
      <c r="G8" s="76"/>
      <c r="H8" s="76"/>
      <c r="I8" s="76"/>
      <c r="J8" s="76"/>
      <c r="K8" s="76"/>
      <c r="L8" s="76"/>
      <c r="M8" s="76"/>
      <c r="N8" s="76"/>
      <c r="O8" s="76"/>
    </row>
    <row r="9" spans="1:15" ht="63.75" x14ac:dyDescent="0.2">
      <c r="A9" s="44" t="s">
        <v>52</v>
      </c>
      <c r="B9" s="45" t="s">
        <v>35</v>
      </c>
      <c r="C9" s="44" t="s">
        <v>36</v>
      </c>
      <c r="D9" s="44" t="s">
        <v>54</v>
      </c>
      <c r="E9" s="45" t="s">
        <v>35</v>
      </c>
      <c r="F9" s="44" t="s">
        <v>37</v>
      </c>
      <c r="G9" s="46" t="s">
        <v>29</v>
      </c>
      <c r="H9" s="47" t="s">
        <v>119</v>
      </c>
      <c r="I9" s="46" t="s">
        <v>55</v>
      </c>
      <c r="J9" s="46" t="s">
        <v>117</v>
      </c>
      <c r="K9" s="134" t="s">
        <v>131</v>
      </c>
      <c r="L9" s="47" t="s">
        <v>120</v>
      </c>
      <c r="M9" s="46" t="s">
        <v>56</v>
      </c>
      <c r="N9" s="46" t="s">
        <v>118</v>
      </c>
      <c r="O9" s="134" t="s">
        <v>132</v>
      </c>
    </row>
    <row r="10" spans="1:15" ht="25.5" x14ac:dyDescent="0.2">
      <c r="A10" s="197" t="s">
        <v>563</v>
      </c>
      <c r="B10" s="90">
        <v>834</v>
      </c>
      <c r="C10" s="48" t="s">
        <v>659</v>
      </c>
      <c r="D10" s="209"/>
      <c r="E10" s="90"/>
      <c r="F10" s="48" t="s">
        <v>526</v>
      </c>
      <c r="G10" s="209" t="s">
        <v>563</v>
      </c>
      <c r="H10" s="53">
        <v>2.8620000000000001</v>
      </c>
      <c r="I10" s="54">
        <v>218.82</v>
      </c>
      <c r="J10" s="54">
        <v>5.37</v>
      </c>
      <c r="K10" s="54">
        <v>5.37</v>
      </c>
      <c r="L10" s="55"/>
      <c r="M10" s="56"/>
      <c r="N10" s="56"/>
      <c r="O10" s="56"/>
    </row>
    <row r="11" spans="1:15" ht="51" x14ac:dyDescent="0.2">
      <c r="A11" s="197" t="s">
        <v>564</v>
      </c>
      <c r="B11" s="90">
        <v>889</v>
      </c>
      <c r="C11" s="48" t="s">
        <v>660</v>
      </c>
      <c r="D11" s="209"/>
      <c r="E11" s="90"/>
      <c r="F11" s="48" t="s">
        <v>526</v>
      </c>
      <c r="G11" s="209" t="s">
        <v>564</v>
      </c>
      <c r="H11" s="53">
        <v>0</v>
      </c>
      <c r="I11" s="54">
        <v>109.41</v>
      </c>
      <c r="J11" s="54">
        <v>1.26</v>
      </c>
      <c r="K11" s="54">
        <v>1.26</v>
      </c>
      <c r="L11" s="55"/>
      <c r="M11" s="56"/>
      <c r="N11" s="56"/>
      <c r="O11" s="56"/>
    </row>
    <row r="12" spans="1:15" ht="25.5" x14ac:dyDescent="0.2">
      <c r="A12" s="197" t="s">
        <v>565</v>
      </c>
      <c r="B12" s="90">
        <v>835</v>
      </c>
      <c r="C12" s="48" t="s">
        <v>661</v>
      </c>
      <c r="D12" s="209"/>
      <c r="E12" s="90"/>
      <c r="F12" s="48" t="s">
        <v>526</v>
      </c>
      <c r="G12" s="209" t="s">
        <v>565</v>
      </c>
      <c r="H12" s="53">
        <v>1.109</v>
      </c>
      <c r="I12" s="54">
        <v>218.82</v>
      </c>
      <c r="J12" s="54">
        <v>1.84</v>
      </c>
      <c r="K12" s="54">
        <v>1.84</v>
      </c>
      <c r="L12" s="55"/>
      <c r="M12" s="56"/>
      <c r="N12" s="56"/>
      <c r="O12" s="56"/>
    </row>
    <row r="13" spans="1:15" ht="25.5" x14ac:dyDescent="0.2">
      <c r="A13" s="197" t="s">
        <v>566</v>
      </c>
      <c r="B13" s="90" t="s">
        <v>1467</v>
      </c>
      <c r="C13" s="48" t="s">
        <v>662</v>
      </c>
      <c r="D13" s="209"/>
      <c r="E13" s="90"/>
      <c r="F13" s="48" t="s">
        <v>526</v>
      </c>
      <c r="G13" s="209" t="s">
        <v>566</v>
      </c>
      <c r="H13" s="53">
        <v>0</v>
      </c>
      <c r="I13" s="54">
        <v>627.76</v>
      </c>
      <c r="J13" s="54">
        <v>1.55</v>
      </c>
      <c r="K13" s="54">
        <v>1.55</v>
      </c>
      <c r="L13" s="55"/>
      <c r="M13" s="56"/>
      <c r="N13" s="56"/>
      <c r="O13" s="56"/>
    </row>
    <row r="14" spans="1:15" ht="25.5" x14ac:dyDescent="0.2">
      <c r="A14" s="197" t="s">
        <v>567</v>
      </c>
      <c r="B14" s="90">
        <v>833</v>
      </c>
      <c r="C14" s="48" t="s">
        <v>663</v>
      </c>
      <c r="D14" s="209"/>
      <c r="E14" s="90"/>
      <c r="F14" s="48" t="s">
        <v>526</v>
      </c>
      <c r="G14" s="209" t="s">
        <v>567</v>
      </c>
      <c r="H14" s="53">
        <v>0</v>
      </c>
      <c r="I14" s="54">
        <v>1536.48</v>
      </c>
      <c r="J14" s="54">
        <v>3.48</v>
      </c>
      <c r="K14" s="54">
        <v>3.48</v>
      </c>
      <c r="L14" s="55"/>
      <c r="M14" s="56"/>
      <c r="N14" s="56"/>
      <c r="O14" s="56"/>
    </row>
    <row r="15" spans="1:15" x14ac:dyDescent="0.2">
      <c r="A15" s="197" t="s">
        <v>568</v>
      </c>
      <c r="B15" s="90">
        <v>874</v>
      </c>
      <c r="C15" s="48">
        <v>1900060219605</v>
      </c>
      <c r="D15" s="209"/>
      <c r="E15" s="90"/>
      <c r="F15" s="48" t="s">
        <v>526</v>
      </c>
      <c r="G15" s="209" t="s">
        <v>568</v>
      </c>
      <c r="H15" s="53">
        <v>0</v>
      </c>
      <c r="I15" s="54">
        <v>90359.38</v>
      </c>
      <c r="J15" s="54">
        <v>0.65</v>
      </c>
      <c r="K15" s="54">
        <v>0.65</v>
      </c>
      <c r="L15" s="55"/>
      <c r="M15" s="56"/>
      <c r="N15" s="56"/>
      <c r="O15" s="56"/>
    </row>
    <row r="16" spans="1:15" ht="38.25" x14ac:dyDescent="0.2">
      <c r="A16" s="197" t="s">
        <v>569</v>
      </c>
      <c r="B16" s="90">
        <v>869</v>
      </c>
      <c r="C16" s="48" t="s">
        <v>664</v>
      </c>
      <c r="D16" s="209"/>
      <c r="E16" s="90"/>
      <c r="F16" s="48" t="s">
        <v>526</v>
      </c>
      <c r="G16" s="209" t="s">
        <v>569</v>
      </c>
      <c r="H16" s="53">
        <v>2.1379999999999999</v>
      </c>
      <c r="I16" s="54">
        <v>2443.9</v>
      </c>
      <c r="J16" s="54">
        <v>7.42</v>
      </c>
      <c r="K16" s="54">
        <v>7.42</v>
      </c>
      <c r="L16" s="55"/>
      <c r="M16" s="56"/>
      <c r="N16" s="56"/>
      <c r="O16" s="56"/>
    </row>
    <row r="17" spans="1:15" ht="25.5" x14ac:dyDescent="0.2">
      <c r="A17" s="197" t="s">
        <v>570</v>
      </c>
      <c r="B17" s="90">
        <v>870</v>
      </c>
      <c r="C17" s="48" t="s">
        <v>665</v>
      </c>
      <c r="D17" s="209"/>
      <c r="E17" s="90"/>
      <c r="F17" s="48" t="s">
        <v>526</v>
      </c>
      <c r="G17" s="209" t="s">
        <v>570</v>
      </c>
      <c r="H17" s="53">
        <v>0.72299999999999998</v>
      </c>
      <c r="I17" s="54">
        <v>627.76</v>
      </c>
      <c r="J17" s="54">
        <v>4.84</v>
      </c>
      <c r="K17" s="54">
        <v>4.84</v>
      </c>
      <c r="L17" s="55"/>
      <c r="M17" s="56"/>
      <c r="N17" s="56"/>
      <c r="O17" s="56"/>
    </row>
    <row r="18" spans="1:15" x14ac:dyDescent="0.2">
      <c r="A18" s="197" t="s">
        <v>571</v>
      </c>
      <c r="B18" s="90"/>
      <c r="C18" s="48" t="s">
        <v>683</v>
      </c>
      <c r="D18" s="209"/>
      <c r="E18" s="90"/>
      <c r="F18" s="48" t="s">
        <v>526</v>
      </c>
      <c r="G18" s="209" t="s">
        <v>571</v>
      </c>
      <c r="H18" s="53">
        <v>0</v>
      </c>
      <c r="I18" s="54">
        <v>0</v>
      </c>
      <c r="J18" s="54">
        <v>2.7</v>
      </c>
      <c r="K18" s="54">
        <v>2.7</v>
      </c>
      <c r="L18" s="55"/>
      <c r="M18" s="56"/>
      <c r="N18" s="56"/>
      <c r="O18" s="56"/>
    </row>
    <row r="19" spans="1:15" x14ac:dyDescent="0.2">
      <c r="A19" s="197" t="s">
        <v>572</v>
      </c>
      <c r="B19" s="90">
        <v>837</v>
      </c>
      <c r="C19" s="48">
        <v>1900047386380</v>
      </c>
      <c r="D19" s="209"/>
      <c r="E19" s="90"/>
      <c r="F19" s="48" t="s">
        <v>526</v>
      </c>
      <c r="G19" s="209" t="s">
        <v>572</v>
      </c>
      <c r="H19" s="53">
        <v>2.3980000000000001</v>
      </c>
      <c r="I19" s="54">
        <v>437.64</v>
      </c>
      <c r="J19" s="54">
        <v>4.49</v>
      </c>
      <c r="K19" s="54">
        <v>4.49</v>
      </c>
      <c r="L19" s="55"/>
      <c r="M19" s="56"/>
      <c r="N19" s="56"/>
      <c r="O19" s="56"/>
    </row>
    <row r="20" spans="1:15" x14ac:dyDescent="0.2">
      <c r="A20" s="197" t="s">
        <v>573</v>
      </c>
      <c r="B20" s="90">
        <v>866</v>
      </c>
      <c r="C20" s="48">
        <v>1900060219145</v>
      </c>
      <c r="D20" s="209"/>
      <c r="E20" s="90"/>
      <c r="F20" s="48" t="s">
        <v>526</v>
      </c>
      <c r="G20" s="209" t="s">
        <v>573</v>
      </c>
      <c r="H20" s="53">
        <v>0.86299999999999999</v>
      </c>
      <c r="I20" s="54">
        <v>941.64</v>
      </c>
      <c r="J20" s="54">
        <v>4.66</v>
      </c>
      <c r="K20" s="54">
        <v>4.66</v>
      </c>
      <c r="L20" s="55"/>
      <c r="M20" s="56"/>
      <c r="N20" s="56"/>
      <c r="O20" s="56"/>
    </row>
    <row r="21" spans="1:15" x14ac:dyDescent="0.2">
      <c r="A21" s="197" t="s">
        <v>574</v>
      </c>
      <c r="B21" s="90">
        <v>851</v>
      </c>
      <c r="C21" s="48">
        <v>1900060219377</v>
      </c>
      <c r="D21" s="209"/>
      <c r="E21" s="90"/>
      <c r="F21" s="48" t="s">
        <v>526</v>
      </c>
      <c r="G21" s="209" t="s">
        <v>574</v>
      </c>
      <c r="H21" s="53">
        <v>0.17599999999999999</v>
      </c>
      <c r="I21" s="54">
        <v>627.76</v>
      </c>
      <c r="J21" s="54">
        <v>2.4</v>
      </c>
      <c r="K21" s="54">
        <v>2.4</v>
      </c>
      <c r="L21" s="55"/>
      <c r="M21" s="56"/>
      <c r="N21" s="56"/>
      <c r="O21" s="56"/>
    </row>
    <row r="22" spans="1:15" x14ac:dyDescent="0.2">
      <c r="A22" s="197" t="s">
        <v>575</v>
      </c>
      <c r="B22" s="90">
        <v>879</v>
      </c>
      <c r="C22" s="48">
        <v>1900070068129</v>
      </c>
      <c r="D22" s="209"/>
      <c r="E22" s="90"/>
      <c r="F22" s="48" t="s">
        <v>526</v>
      </c>
      <c r="G22" s="209" t="s">
        <v>575</v>
      </c>
      <c r="H22" s="53">
        <v>0.224</v>
      </c>
      <c r="I22" s="54">
        <v>627.76</v>
      </c>
      <c r="J22" s="54">
        <v>4.41</v>
      </c>
      <c r="K22" s="54">
        <v>4.41</v>
      </c>
      <c r="L22" s="55"/>
      <c r="M22" s="56"/>
      <c r="N22" s="56"/>
      <c r="O22" s="56"/>
    </row>
    <row r="23" spans="1:15" x14ac:dyDescent="0.2">
      <c r="A23" s="197" t="s">
        <v>576</v>
      </c>
      <c r="B23" s="90">
        <v>852</v>
      </c>
      <c r="C23" s="48">
        <v>1900060218675</v>
      </c>
      <c r="D23" s="209"/>
      <c r="E23" s="90"/>
      <c r="F23" s="48" t="s">
        <v>526</v>
      </c>
      <c r="G23" s="209" t="s">
        <v>576</v>
      </c>
      <c r="H23" s="53">
        <v>0</v>
      </c>
      <c r="I23" s="54">
        <v>941.64</v>
      </c>
      <c r="J23" s="54">
        <v>2.44</v>
      </c>
      <c r="K23" s="54">
        <v>2.44</v>
      </c>
      <c r="L23" s="55"/>
      <c r="M23" s="56"/>
      <c r="N23" s="56"/>
      <c r="O23" s="56"/>
    </row>
    <row r="24" spans="1:15" x14ac:dyDescent="0.2">
      <c r="A24" s="197" t="s">
        <v>577</v>
      </c>
      <c r="B24" s="90">
        <v>853</v>
      </c>
      <c r="C24" s="48">
        <v>1900060218727</v>
      </c>
      <c r="D24" s="209"/>
      <c r="E24" s="90"/>
      <c r="F24" s="48" t="s">
        <v>526</v>
      </c>
      <c r="G24" s="209" t="s">
        <v>577</v>
      </c>
      <c r="H24" s="53">
        <v>0.26300000000000001</v>
      </c>
      <c r="I24" s="54">
        <v>941.64</v>
      </c>
      <c r="J24" s="54">
        <v>2.17</v>
      </c>
      <c r="K24" s="54">
        <v>2.17</v>
      </c>
      <c r="L24" s="55"/>
      <c r="M24" s="56"/>
      <c r="N24" s="56"/>
      <c r="O24" s="56"/>
    </row>
    <row r="25" spans="1:15" x14ac:dyDescent="0.2">
      <c r="A25" s="197" t="s">
        <v>578</v>
      </c>
      <c r="B25" s="90">
        <v>854</v>
      </c>
      <c r="C25" s="48">
        <v>1900060218790</v>
      </c>
      <c r="D25" s="209"/>
      <c r="E25" s="90"/>
      <c r="F25" s="48" t="s">
        <v>526</v>
      </c>
      <c r="G25" s="209" t="s">
        <v>578</v>
      </c>
      <c r="H25" s="53">
        <v>1.7000000000000001E-2</v>
      </c>
      <c r="I25" s="54">
        <v>627.76</v>
      </c>
      <c r="J25" s="54">
        <v>3.01</v>
      </c>
      <c r="K25" s="54">
        <v>3.01</v>
      </c>
      <c r="L25" s="55"/>
      <c r="M25" s="56"/>
      <c r="N25" s="56"/>
      <c r="O25" s="56"/>
    </row>
    <row r="26" spans="1:15" x14ac:dyDescent="0.2">
      <c r="A26" s="197" t="s">
        <v>579</v>
      </c>
      <c r="B26" s="90">
        <v>855</v>
      </c>
      <c r="C26" s="48">
        <v>1900060218815</v>
      </c>
      <c r="D26" s="209"/>
      <c r="E26" s="90"/>
      <c r="F26" s="48" t="s">
        <v>526</v>
      </c>
      <c r="G26" s="209" t="s">
        <v>579</v>
      </c>
      <c r="H26" s="53">
        <v>0</v>
      </c>
      <c r="I26" s="54">
        <v>627.76</v>
      </c>
      <c r="J26" s="54">
        <v>2.88</v>
      </c>
      <c r="K26" s="54">
        <v>2.88</v>
      </c>
      <c r="L26" s="55"/>
      <c r="M26" s="56"/>
      <c r="N26" s="56"/>
      <c r="O26" s="56"/>
    </row>
    <row r="27" spans="1:15" x14ac:dyDescent="0.2">
      <c r="A27" s="197" t="s">
        <v>580</v>
      </c>
      <c r="B27" s="90">
        <v>856</v>
      </c>
      <c r="C27" s="48">
        <v>1900060219303</v>
      </c>
      <c r="D27" s="209"/>
      <c r="E27" s="90"/>
      <c r="F27" s="48" t="s">
        <v>526</v>
      </c>
      <c r="G27" s="209" t="s">
        <v>580</v>
      </c>
      <c r="H27" s="53">
        <v>2.343</v>
      </c>
      <c r="I27" s="54">
        <v>627.76</v>
      </c>
      <c r="J27" s="54">
        <v>3.19</v>
      </c>
      <c r="K27" s="54">
        <v>3.19</v>
      </c>
      <c r="L27" s="55"/>
      <c r="M27" s="56"/>
      <c r="N27" s="56"/>
      <c r="O27" s="56"/>
    </row>
    <row r="28" spans="1:15" x14ac:dyDescent="0.2">
      <c r="A28" s="197" t="s">
        <v>581</v>
      </c>
      <c r="B28" s="90">
        <v>857</v>
      </c>
      <c r="C28" s="48">
        <v>1900060218912</v>
      </c>
      <c r="D28" s="209"/>
      <c r="E28" s="90"/>
      <c r="F28" s="48" t="s">
        <v>526</v>
      </c>
      <c r="G28" s="209" t="s">
        <v>581</v>
      </c>
      <c r="H28" s="53">
        <v>3.464</v>
      </c>
      <c r="I28" s="54">
        <v>627.76</v>
      </c>
      <c r="J28" s="54">
        <v>3.86</v>
      </c>
      <c r="K28" s="54">
        <v>3.86</v>
      </c>
      <c r="L28" s="55"/>
      <c r="M28" s="56"/>
      <c r="N28" s="56"/>
      <c r="O28" s="56"/>
    </row>
    <row r="29" spans="1:15" x14ac:dyDescent="0.2">
      <c r="A29" s="197" t="s">
        <v>582</v>
      </c>
      <c r="B29" s="90">
        <v>858</v>
      </c>
      <c r="C29" s="48">
        <v>1900060218959</v>
      </c>
      <c r="D29" s="209"/>
      <c r="E29" s="90"/>
      <c r="F29" s="48" t="s">
        <v>526</v>
      </c>
      <c r="G29" s="209" t="s">
        <v>582</v>
      </c>
      <c r="H29" s="53">
        <v>0.10199999999999999</v>
      </c>
      <c r="I29" s="54">
        <v>627.76</v>
      </c>
      <c r="J29" s="54">
        <v>3.01</v>
      </c>
      <c r="K29" s="54">
        <v>3.01</v>
      </c>
      <c r="L29" s="55"/>
      <c r="M29" s="56"/>
      <c r="N29" s="56"/>
      <c r="O29" s="56"/>
    </row>
    <row r="30" spans="1:15" x14ac:dyDescent="0.2">
      <c r="A30" s="197" t="s">
        <v>583</v>
      </c>
      <c r="B30" s="90">
        <v>859</v>
      </c>
      <c r="C30" s="48">
        <v>1900060218986</v>
      </c>
      <c r="D30" s="209"/>
      <c r="E30" s="90"/>
      <c r="F30" s="48" t="s">
        <v>526</v>
      </c>
      <c r="G30" s="209" t="s">
        <v>583</v>
      </c>
      <c r="H30" s="53">
        <v>0.26700000000000002</v>
      </c>
      <c r="I30" s="54">
        <v>3900.36</v>
      </c>
      <c r="J30" s="54">
        <v>3.64</v>
      </c>
      <c r="K30" s="54">
        <v>3.64</v>
      </c>
      <c r="L30" s="55"/>
      <c r="M30" s="56"/>
      <c r="N30" s="56"/>
      <c r="O30" s="56"/>
    </row>
    <row r="31" spans="1:15" x14ac:dyDescent="0.2">
      <c r="A31" s="197" t="s">
        <v>584</v>
      </c>
      <c r="B31" s="90">
        <v>860</v>
      </c>
      <c r="C31" s="48">
        <v>1900060219001</v>
      </c>
      <c r="D31" s="209"/>
      <c r="E31" s="90"/>
      <c r="F31" s="48" t="s">
        <v>526</v>
      </c>
      <c r="G31" s="209" t="s">
        <v>584</v>
      </c>
      <c r="H31" s="53">
        <v>2.105</v>
      </c>
      <c r="I31" s="54">
        <v>627.76</v>
      </c>
      <c r="J31" s="54">
        <v>3.75</v>
      </c>
      <c r="K31" s="54">
        <v>3.75</v>
      </c>
      <c r="L31" s="55"/>
      <c r="M31" s="56"/>
      <c r="N31" s="56"/>
      <c r="O31" s="56"/>
    </row>
    <row r="32" spans="1:15" x14ac:dyDescent="0.2">
      <c r="A32" s="197" t="s">
        <v>585</v>
      </c>
      <c r="B32" s="90">
        <v>861</v>
      </c>
      <c r="C32" s="48">
        <v>1900060219535</v>
      </c>
      <c r="D32" s="209"/>
      <c r="E32" s="90"/>
      <c r="F32" s="48" t="s">
        <v>526</v>
      </c>
      <c r="G32" s="209" t="s">
        <v>585</v>
      </c>
      <c r="H32" s="53">
        <v>6.9960000000000004</v>
      </c>
      <c r="I32" s="54">
        <v>627.76</v>
      </c>
      <c r="J32" s="54">
        <v>3.88</v>
      </c>
      <c r="K32" s="54">
        <v>3.88</v>
      </c>
      <c r="L32" s="55"/>
      <c r="M32" s="56"/>
      <c r="N32" s="56"/>
      <c r="O32" s="56"/>
    </row>
    <row r="33" spans="1:15" x14ac:dyDescent="0.2">
      <c r="A33" s="197" t="s">
        <v>586</v>
      </c>
      <c r="B33" s="90">
        <v>862</v>
      </c>
      <c r="C33" s="48">
        <v>1900060219891</v>
      </c>
      <c r="D33" s="209"/>
      <c r="E33" s="90"/>
      <c r="F33" s="48" t="s">
        <v>526</v>
      </c>
      <c r="G33" s="209" t="s">
        <v>586</v>
      </c>
      <c r="H33" s="53">
        <v>0.19</v>
      </c>
      <c r="I33" s="54">
        <v>1255.51</v>
      </c>
      <c r="J33" s="54">
        <v>1.85</v>
      </c>
      <c r="K33" s="54">
        <v>1.85</v>
      </c>
      <c r="L33" s="55"/>
      <c r="M33" s="56"/>
      <c r="N33" s="56"/>
      <c r="O33" s="56"/>
    </row>
    <row r="34" spans="1:15" x14ac:dyDescent="0.2">
      <c r="A34" s="197" t="s">
        <v>587</v>
      </c>
      <c r="B34" s="90">
        <v>863</v>
      </c>
      <c r="C34" s="48">
        <v>1900060219084</v>
      </c>
      <c r="D34" s="209"/>
      <c r="E34" s="90"/>
      <c r="F34" s="48" t="s">
        <v>526</v>
      </c>
      <c r="G34" s="209" t="s">
        <v>587</v>
      </c>
      <c r="H34" s="53">
        <v>0</v>
      </c>
      <c r="I34" s="54">
        <v>329.74</v>
      </c>
      <c r="J34" s="54">
        <v>3.27</v>
      </c>
      <c r="K34" s="54">
        <v>3.27</v>
      </c>
      <c r="L34" s="55"/>
      <c r="M34" s="56"/>
      <c r="N34" s="56"/>
      <c r="O34" s="56"/>
    </row>
    <row r="35" spans="1:15" ht="25.5" x14ac:dyDescent="0.2">
      <c r="A35" s="197" t="s">
        <v>588</v>
      </c>
      <c r="B35" s="90">
        <v>864</v>
      </c>
      <c r="C35" s="48" t="s">
        <v>666</v>
      </c>
      <c r="D35" s="209"/>
      <c r="E35" s="90"/>
      <c r="F35" s="48" t="s">
        <v>526</v>
      </c>
      <c r="G35" s="209" t="s">
        <v>588</v>
      </c>
      <c r="H35" s="53">
        <v>2E-3</v>
      </c>
      <c r="I35" s="54">
        <v>627.76</v>
      </c>
      <c r="J35" s="54">
        <v>1.64</v>
      </c>
      <c r="K35" s="54">
        <v>1.64</v>
      </c>
      <c r="L35" s="55"/>
      <c r="M35" s="56"/>
      <c r="N35" s="56"/>
      <c r="O35" s="56"/>
    </row>
    <row r="36" spans="1:15" ht="25.5" x14ac:dyDescent="0.2">
      <c r="A36" s="197" t="s">
        <v>589</v>
      </c>
      <c r="B36" s="90">
        <v>865</v>
      </c>
      <c r="C36" s="48" t="s">
        <v>667</v>
      </c>
      <c r="D36" s="209"/>
      <c r="E36" s="90"/>
      <c r="F36" s="48" t="s">
        <v>526</v>
      </c>
      <c r="G36" s="209" t="s">
        <v>589</v>
      </c>
      <c r="H36" s="53">
        <v>0.73199999999999998</v>
      </c>
      <c r="I36" s="54">
        <v>627.76</v>
      </c>
      <c r="J36" s="54">
        <v>4.0999999999999996</v>
      </c>
      <c r="K36" s="54">
        <v>4.0999999999999996</v>
      </c>
      <c r="L36" s="55"/>
      <c r="M36" s="56"/>
      <c r="N36" s="56"/>
      <c r="O36" s="56"/>
    </row>
    <row r="37" spans="1:15" x14ac:dyDescent="0.2">
      <c r="A37" s="197" t="s">
        <v>590</v>
      </c>
      <c r="B37" s="90">
        <v>867</v>
      </c>
      <c r="C37" s="48">
        <v>1900060219206</v>
      </c>
      <c r="D37" s="209"/>
      <c r="E37" s="90"/>
      <c r="F37" s="48" t="s">
        <v>526</v>
      </c>
      <c r="G37" s="209" t="s">
        <v>590</v>
      </c>
      <c r="H37" s="53">
        <v>1.17</v>
      </c>
      <c r="I37" s="54">
        <v>627.76</v>
      </c>
      <c r="J37" s="54">
        <v>2.9</v>
      </c>
      <c r="K37" s="54">
        <v>2.9</v>
      </c>
      <c r="L37" s="55"/>
      <c r="M37" s="56"/>
      <c r="N37" s="56"/>
      <c r="O37" s="56"/>
    </row>
    <row r="38" spans="1:15" x14ac:dyDescent="0.2">
      <c r="A38" s="197" t="s">
        <v>591</v>
      </c>
      <c r="B38" s="90">
        <v>881</v>
      </c>
      <c r="C38" s="48">
        <v>1900060219544</v>
      </c>
      <c r="D38" s="209"/>
      <c r="E38" s="90"/>
      <c r="F38" s="48"/>
      <c r="G38" s="209" t="s">
        <v>591</v>
      </c>
      <c r="H38" s="53">
        <v>0.14199999999999999</v>
      </c>
      <c r="I38" s="54">
        <v>2082.9</v>
      </c>
      <c r="J38" s="54">
        <v>1.06</v>
      </c>
      <c r="K38" s="54">
        <v>1.06</v>
      </c>
      <c r="L38" s="55"/>
      <c r="M38" s="56"/>
      <c r="N38" s="56"/>
      <c r="O38" s="56"/>
    </row>
    <row r="39" spans="1:15" ht="51" x14ac:dyDescent="0.2">
      <c r="A39" s="197" t="s">
        <v>592</v>
      </c>
      <c r="B39" s="90">
        <v>888</v>
      </c>
      <c r="C39" s="48" t="s">
        <v>668</v>
      </c>
      <c r="D39" s="209"/>
      <c r="E39" s="90"/>
      <c r="F39" s="48" t="s">
        <v>526</v>
      </c>
      <c r="G39" s="209" t="s">
        <v>592</v>
      </c>
      <c r="H39" s="53">
        <v>5.0000000000000001E-3</v>
      </c>
      <c r="I39" s="54">
        <v>68659.259999999995</v>
      </c>
      <c r="J39" s="54">
        <v>1.42</v>
      </c>
      <c r="K39" s="54">
        <v>1.42</v>
      </c>
      <c r="L39" s="55"/>
      <c r="M39" s="56"/>
      <c r="N39" s="56"/>
      <c r="O39" s="56"/>
    </row>
    <row r="40" spans="1:15" ht="25.5" x14ac:dyDescent="0.2">
      <c r="A40" s="197" t="s">
        <v>593</v>
      </c>
      <c r="B40" s="90">
        <v>838</v>
      </c>
      <c r="C40" s="48" t="s">
        <v>669</v>
      </c>
      <c r="D40" s="209" t="s">
        <v>593</v>
      </c>
      <c r="E40" s="90">
        <v>691</v>
      </c>
      <c r="F40" s="48" t="s">
        <v>676</v>
      </c>
      <c r="G40" s="209" t="s">
        <v>593</v>
      </c>
      <c r="H40" s="53">
        <v>0</v>
      </c>
      <c r="I40" s="54">
        <v>3839.52</v>
      </c>
      <c r="J40" s="54">
        <v>2.2599999999999998</v>
      </c>
      <c r="K40" s="54">
        <v>2.2599999999999998</v>
      </c>
      <c r="L40" s="55">
        <v>0</v>
      </c>
      <c r="M40" s="56">
        <v>2879.64</v>
      </c>
      <c r="N40" s="56">
        <v>0.05</v>
      </c>
      <c r="O40" s="56">
        <v>0.05</v>
      </c>
    </row>
    <row r="41" spans="1:15" x14ac:dyDescent="0.2">
      <c r="A41" s="197" t="s">
        <v>594</v>
      </c>
      <c r="B41" s="90">
        <v>884</v>
      </c>
      <c r="C41" s="48">
        <v>1900016424857</v>
      </c>
      <c r="D41" s="209" t="s">
        <v>594</v>
      </c>
      <c r="E41" s="90">
        <v>732</v>
      </c>
      <c r="F41" s="48">
        <v>1900060576611</v>
      </c>
      <c r="G41" s="209" t="s">
        <v>594</v>
      </c>
      <c r="H41" s="53">
        <v>0</v>
      </c>
      <c r="I41" s="54">
        <v>2942.58</v>
      </c>
      <c r="J41" s="54">
        <v>4.59</v>
      </c>
      <c r="K41" s="54">
        <v>4.59</v>
      </c>
      <c r="L41" s="55">
        <v>0</v>
      </c>
      <c r="M41" s="56">
        <v>1726.31</v>
      </c>
      <c r="N41" s="56">
        <v>0.05</v>
      </c>
      <c r="O41" s="56">
        <v>0.05</v>
      </c>
    </row>
    <row r="42" spans="1:15" x14ac:dyDescent="0.2">
      <c r="A42" s="197" t="s">
        <v>595</v>
      </c>
      <c r="B42" s="90">
        <v>839</v>
      </c>
      <c r="C42" s="48">
        <v>1900091206176</v>
      </c>
      <c r="D42" s="209" t="s">
        <v>595</v>
      </c>
      <c r="E42" s="90">
        <v>692</v>
      </c>
      <c r="F42" s="48">
        <v>1900091206194</v>
      </c>
      <c r="G42" s="209" t="s">
        <v>595</v>
      </c>
      <c r="H42" s="53">
        <v>3.008</v>
      </c>
      <c r="I42" s="54">
        <v>188.64</v>
      </c>
      <c r="J42" s="54">
        <v>1.88</v>
      </c>
      <c r="K42" s="54">
        <v>1.88</v>
      </c>
      <c r="L42" s="55">
        <v>-2.9569999999999999</v>
      </c>
      <c r="M42" s="56">
        <v>30.18</v>
      </c>
      <c r="N42" s="56">
        <v>0.05</v>
      </c>
      <c r="O42" s="56">
        <v>0.05</v>
      </c>
    </row>
    <row r="43" spans="1:15" x14ac:dyDescent="0.2">
      <c r="A43" s="197" t="s">
        <v>596</v>
      </c>
      <c r="B43" s="90">
        <v>809</v>
      </c>
      <c r="C43" s="48">
        <v>1900091216963</v>
      </c>
      <c r="D43" s="209" t="s">
        <v>596</v>
      </c>
      <c r="E43" s="90">
        <v>741</v>
      </c>
      <c r="F43" s="48">
        <v>1900091216972</v>
      </c>
      <c r="G43" s="209" t="s">
        <v>596</v>
      </c>
      <c r="H43" s="53">
        <v>5.0999999999999997E-2</v>
      </c>
      <c r="I43" s="54">
        <v>9.6300000000000008</v>
      </c>
      <c r="J43" s="54">
        <v>4.22</v>
      </c>
      <c r="K43" s="54">
        <v>4.22</v>
      </c>
      <c r="L43" s="55">
        <v>0</v>
      </c>
      <c r="M43" s="56">
        <v>982.39</v>
      </c>
      <c r="N43" s="56">
        <v>0.05</v>
      </c>
      <c r="O43" s="56">
        <v>0.05</v>
      </c>
    </row>
    <row r="44" spans="1:15" x14ac:dyDescent="0.2">
      <c r="A44" s="197" t="s">
        <v>597</v>
      </c>
      <c r="B44" s="90">
        <v>801</v>
      </c>
      <c r="C44" s="48">
        <v>1900090978866</v>
      </c>
      <c r="D44" s="209" t="s">
        <v>597</v>
      </c>
      <c r="E44" s="90">
        <v>734</v>
      </c>
      <c r="F44" s="48">
        <v>1900090978875</v>
      </c>
      <c r="G44" s="209" t="s">
        <v>597</v>
      </c>
      <c r="H44" s="53">
        <v>0</v>
      </c>
      <c r="I44" s="54">
        <v>91.9</v>
      </c>
      <c r="J44" s="54">
        <v>1.25</v>
      </c>
      <c r="K44" s="54">
        <v>1.25</v>
      </c>
      <c r="L44" s="55">
        <v>0</v>
      </c>
      <c r="M44" s="56">
        <v>2756.96</v>
      </c>
      <c r="N44" s="56">
        <v>0.05</v>
      </c>
      <c r="O44" s="56">
        <v>0.05</v>
      </c>
    </row>
    <row r="45" spans="1:15" x14ac:dyDescent="0.2">
      <c r="A45" s="197" t="s">
        <v>598</v>
      </c>
      <c r="B45" s="90">
        <v>868</v>
      </c>
      <c r="C45" s="48">
        <v>1900060216613</v>
      </c>
      <c r="D45" s="209" t="s">
        <v>598</v>
      </c>
      <c r="E45" s="90">
        <v>725</v>
      </c>
      <c r="F45" s="48">
        <v>1900060436880</v>
      </c>
      <c r="G45" s="209" t="s">
        <v>598</v>
      </c>
      <c r="H45" s="53">
        <v>0</v>
      </c>
      <c r="I45" s="54">
        <v>313.88</v>
      </c>
      <c r="J45" s="54">
        <v>0.87</v>
      </c>
      <c r="K45" s="54">
        <v>0.87</v>
      </c>
      <c r="L45" s="55">
        <v>0</v>
      </c>
      <c r="M45" s="56">
        <v>0</v>
      </c>
      <c r="N45" s="56">
        <v>0</v>
      </c>
      <c r="O45" s="56">
        <v>0</v>
      </c>
    </row>
    <row r="46" spans="1:15" x14ac:dyDescent="0.2">
      <c r="A46" s="197" t="s">
        <v>599</v>
      </c>
      <c r="B46" s="90">
        <v>840</v>
      </c>
      <c r="C46" s="48">
        <v>1900091482588</v>
      </c>
      <c r="D46" s="209" t="s">
        <v>599</v>
      </c>
      <c r="E46" s="90">
        <v>693</v>
      </c>
      <c r="F46" s="48">
        <v>1900091482597</v>
      </c>
      <c r="G46" s="209" t="s">
        <v>599</v>
      </c>
      <c r="H46" s="53">
        <v>0</v>
      </c>
      <c r="I46" s="54">
        <v>338.93</v>
      </c>
      <c r="J46" s="54">
        <v>1.47</v>
      </c>
      <c r="K46" s="54">
        <v>1.47</v>
      </c>
      <c r="L46" s="55">
        <v>-0.17499999999999999</v>
      </c>
      <c r="M46" s="56">
        <v>2408.15</v>
      </c>
      <c r="N46" s="56">
        <v>0.05</v>
      </c>
      <c r="O46" s="56">
        <v>0.05</v>
      </c>
    </row>
    <row r="47" spans="1:15" x14ac:dyDescent="0.2">
      <c r="A47" s="221" t="s">
        <v>600</v>
      </c>
      <c r="B47" s="222">
        <v>841</v>
      </c>
      <c r="C47" s="223">
        <v>1900091632775</v>
      </c>
      <c r="D47" s="224" t="s">
        <v>600</v>
      </c>
      <c r="E47" s="222">
        <v>694</v>
      </c>
      <c r="F47" s="223">
        <v>1900091632784</v>
      </c>
      <c r="G47" s="224" t="s">
        <v>600</v>
      </c>
      <c r="H47" s="225">
        <v>0.16800000000000001</v>
      </c>
      <c r="I47" s="226">
        <v>345.61</v>
      </c>
      <c r="J47" s="226">
        <v>0.9</v>
      </c>
      <c r="K47" s="226">
        <v>0.9</v>
      </c>
      <c r="L47" s="227">
        <v>-0.20899999999999999</v>
      </c>
      <c r="M47" s="228">
        <v>345.61</v>
      </c>
      <c r="N47" s="228">
        <v>0.05</v>
      </c>
      <c r="O47" s="228">
        <v>0.05</v>
      </c>
    </row>
    <row r="48" spans="1:15" x14ac:dyDescent="0.2">
      <c r="A48" s="197" t="s">
        <v>601</v>
      </c>
      <c r="B48" s="90">
        <v>890</v>
      </c>
      <c r="C48" s="48">
        <v>1900091343778</v>
      </c>
      <c r="D48" s="209" t="s">
        <v>601</v>
      </c>
      <c r="E48" s="90">
        <v>713</v>
      </c>
      <c r="F48" s="48">
        <v>1900091343787</v>
      </c>
      <c r="G48" s="209" t="s">
        <v>601</v>
      </c>
      <c r="H48" s="53">
        <v>9.2230000000000008</v>
      </c>
      <c r="I48" s="54">
        <v>8.67</v>
      </c>
      <c r="J48" s="54">
        <v>1.67</v>
      </c>
      <c r="K48" s="54">
        <v>1.67</v>
      </c>
      <c r="L48" s="55">
        <v>0</v>
      </c>
      <c r="M48" s="56">
        <v>866.59</v>
      </c>
      <c r="N48" s="56">
        <v>0.05</v>
      </c>
      <c r="O48" s="56">
        <v>0.05</v>
      </c>
    </row>
    <row r="49" spans="1:15" x14ac:dyDescent="0.2">
      <c r="A49" s="197" t="s">
        <v>602</v>
      </c>
      <c r="B49" s="90">
        <v>830</v>
      </c>
      <c r="C49" s="48">
        <v>1900091463646</v>
      </c>
      <c r="D49" s="209" t="s">
        <v>602</v>
      </c>
      <c r="E49" s="90">
        <v>712</v>
      </c>
      <c r="F49" s="48">
        <v>1900091463655</v>
      </c>
      <c r="G49" s="209" t="s">
        <v>602</v>
      </c>
      <c r="H49" s="53">
        <v>9.2230000000000008</v>
      </c>
      <c r="I49" s="54">
        <v>6.6</v>
      </c>
      <c r="J49" s="54">
        <v>1.55</v>
      </c>
      <c r="K49" s="54">
        <v>1.55</v>
      </c>
      <c r="L49" s="55">
        <v>0</v>
      </c>
      <c r="M49" s="56">
        <v>554.77</v>
      </c>
      <c r="N49" s="56">
        <v>0.05</v>
      </c>
      <c r="O49" s="56">
        <v>0.05</v>
      </c>
    </row>
    <row r="50" spans="1:15" x14ac:dyDescent="0.2">
      <c r="A50" s="197" t="s">
        <v>603</v>
      </c>
      <c r="B50" s="90">
        <v>891</v>
      </c>
      <c r="C50" s="48">
        <v>1900091395508</v>
      </c>
      <c r="D50" s="209" t="s">
        <v>603</v>
      </c>
      <c r="E50" s="90">
        <v>705</v>
      </c>
      <c r="F50" s="48">
        <v>1900091395517</v>
      </c>
      <c r="G50" s="209" t="s">
        <v>603</v>
      </c>
      <c r="H50" s="53">
        <v>2E-3</v>
      </c>
      <c r="I50" s="54">
        <v>4.7</v>
      </c>
      <c r="J50" s="54">
        <v>3.27</v>
      </c>
      <c r="K50" s="54">
        <v>3.27</v>
      </c>
      <c r="L50" s="55">
        <v>0</v>
      </c>
      <c r="M50" s="56">
        <v>940.36</v>
      </c>
      <c r="N50" s="56">
        <v>0.05</v>
      </c>
      <c r="O50" s="56">
        <v>0.05</v>
      </c>
    </row>
    <row r="51" spans="1:15" x14ac:dyDescent="0.2">
      <c r="A51" s="221" t="s">
        <v>604</v>
      </c>
      <c r="B51" s="222">
        <v>842</v>
      </c>
      <c r="C51" s="223">
        <v>1900091566810</v>
      </c>
      <c r="D51" s="224" t="s">
        <v>604</v>
      </c>
      <c r="E51" s="222">
        <v>695</v>
      </c>
      <c r="F51" s="223">
        <v>1900091566820</v>
      </c>
      <c r="G51" s="224" t="s">
        <v>604</v>
      </c>
      <c r="H51" s="225">
        <v>7.4999999999999997E-2</v>
      </c>
      <c r="I51" s="226">
        <v>345.61</v>
      </c>
      <c r="J51" s="226">
        <v>1.5</v>
      </c>
      <c r="K51" s="226">
        <v>1.5</v>
      </c>
      <c r="L51" s="227">
        <v>-8.5000000000000006E-2</v>
      </c>
      <c r="M51" s="228">
        <v>345.61</v>
      </c>
      <c r="N51" s="228">
        <v>0.05</v>
      </c>
      <c r="O51" s="228">
        <v>0.05</v>
      </c>
    </row>
    <row r="52" spans="1:15" x14ac:dyDescent="0.2">
      <c r="A52" s="197" t="s">
        <v>605</v>
      </c>
      <c r="B52" s="90">
        <v>843</v>
      </c>
      <c r="C52" s="48">
        <v>1900091523116</v>
      </c>
      <c r="D52" s="209" t="s">
        <v>605</v>
      </c>
      <c r="E52" s="90">
        <v>696</v>
      </c>
      <c r="F52" s="48">
        <v>1900091523125</v>
      </c>
      <c r="G52" s="209" t="s">
        <v>605</v>
      </c>
      <c r="H52" s="53">
        <v>0</v>
      </c>
      <c r="I52" s="54">
        <v>33.79</v>
      </c>
      <c r="J52" s="54">
        <v>2.11</v>
      </c>
      <c r="K52" s="54">
        <v>2.11</v>
      </c>
      <c r="L52" s="55">
        <v>0</v>
      </c>
      <c r="M52" s="56">
        <v>720.89</v>
      </c>
      <c r="N52" s="56">
        <v>0.05</v>
      </c>
      <c r="O52" s="56">
        <v>0.05</v>
      </c>
    </row>
    <row r="53" spans="1:15" ht="25.5" x14ac:dyDescent="0.2">
      <c r="A53" s="197" t="s">
        <v>606</v>
      </c>
      <c r="B53" s="90">
        <v>871</v>
      </c>
      <c r="C53" s="48" t="s">
        <v>670</v>
      </c>
      <c r="D53" s="209" t="s">
        <v>606</v>
      </c>
      <c r="E53" s="90">
        <v>726</v>
      </c>
      <c r="F53" s="48" t="s">
        <v>677</v>
      </c>
      <c r="G53" s="209" t="s">
        <v>606</v>
      </c>
      <c r="H53" s="53">
        <v>1E-3</v>
      </c>
      <c r="I53" s="54">
        <v>22.5</v>
      </c>
      <c r="J53" s="54">
        <v>1.26</v>
      </c>
      <c r="K53" s="54">
        <v>1.26</v>
      </c>
      <c r="L53" s="55">
        <v>0</v>
      </c>
      <c r="M53" s="56">
        <v>0</v>
      </c>
      <c r="N53" s="56">
        <v>0</v>
      </c>
      <c r="O53" s="56">
        <v>0</v>
      </c>
    </row>
    <row r="54" spans="1:15" x14ac:dyDescent="0.2">
      <c r="A54" s="197" t="s">
        <v>607</v>
      </c>
      <c r="B54" s="90">
        <v>802</v>
      </c>
      <c r="C54" s="48">
        <v>1900090834409</v>
      </c>
      <c r="D54" s="209" t="s">
        <v>607</v>
      </c>
      <c r="E54" s="90">
        <v>738</v>
      </c>
      <c r="F54" s="48">
        <v>1900090834418</v>
      </c>
      <c r="G54" s="209" t="s">
        <v>607</v>
      </c>
      <c r="H54" s="53">
        <v>0.35699999999999998</v>
      </c>
      <c r="I54" s="54">
        <v>1628.32</v>
      </c>
      <c r="J54" s="54">
        <v>2.12</v>
      </c>
      <c r="K54" s="54">
        <v>2.12</v>
      </c>
      <c r="L54" s="55">
        <v>-0.53200000000000003</v>
      </c>
      <c r="M54" s="56">
        <v>4837.7700000000004</v>
      </c>
      <c r="N54" s="56">
        <v>0.05</v>
      </c>
      <c r="O54" s="56">
        <v>0.05</v>
      </c>
    </row>
    <row r="55" spans="1:15" x14ac:dyDescent="0.2">
      <c r="A55" s="197" t="s">
        <v>608</v>
      </c>
      <c r="B55" s="90">
        <v>810</v>
      </c>
      <c r="C55" s="48">
        <v>1900091199350</v>
      </c>
      <c r="D55" s="209" t="s">
        <v>608</v>
      </c>
      <c r="E55" s="90">
        <v>742</v>
      </c>
      <c r="F55" s="48">
        <v>1900091199379</v>
      </c>
      <c r="G55" s="209" t="s">
        <v>608</v>
      </c>
      <c r="H55" s="53">
        <v>1.127</v>
      </c>
      <c r="I55" s="54">
        <v>48.75</v>
      </c>
      <c r="J55" s="54">
        <v>1.33</v>
      </c>
      <c r="K55" s="54">
        <v>1.33</v>
      </c>
      <c r="L55" s="55">
        <v>0</v>
      </c>
      <c r="M55" s="56">
        <v>1083.27</v>
      </c>
      <c r="N55" s="56">
        <v>0.05</v>
      </c>
      <c r="O55" s="56">
        <v>0.05</v>
      </c>
    </row>
    <row r="56" spans="1:15" x14ac:dyDescent="0.2">
      <c r="A56" s="197" t="s">
        <v>609</v>
      </c>
      <c r="B56" s="90">
        <v>893</v>
      </c>
      <c r="C56" s="48">
        <v>1900091353298</v>
      </c>
      <c r="D56" s="209" t="s">
        <v>609</v>
      </c>
      <c r="E56" s="90">
        <v>706</v>
      </c>
      <c r="F56" s="48">
        <v>1900091353303</v>
      </c>
      <c r="G56" s="209" t="s">
        <v>609</v>
      </c>
      <c r="H56" s="53">
        <v>0.61599999999999999</v>
      </c>
      <c r="I56" s="54">
        <v>0.86</v>
      </c>
      <c r="J56" s="54">
        <v>4.57</v>
      </c>
      <c r="K56" s="54">
        <v>4.57</v>
      </c>
      <c r="L56" s="55">
        <v>0</v>
      </c>
      <c r="M56" s="56">
        <v>703.05</v>
      </c>
      <c r="N56" s="56">
        <v>0.05</v>
      </c>
      <c r="O56" s="56">
        <v>0.05</v>
      </c>
    </row>
    <row r="57" spans="1:15" x14ac:dyDescent="0.2">
      <c r="A57" s="197" t="s">
        <v>610</v>
      </c>
      <c r="B57" s="90">
        <v>894</v>
      </c>
      <c r="C57" s="48">
        <v>1900091343750</v>
      </c>
      <c r="D57" s="209" t="s">
        <v>610</v>
      </c>
      <c r="E57" s="90">
        <v>716</v>
      </c>
      <c r="F57" s="48">
        <v>1900091343769</v>
      </c>
      <c r="G57" s="209" t="s">
        <v>610</v>
      </c>
      <c r="H57" s="53">
        <v>0.57699999999999996</v>
      </c>
      <c r="I57" s="54">
        <v>6.53</v>
      </c>
      <c r="J57" s="54">
        <v>1.99</v>
      </c>
      <c r="K57" s="54">
        <v>1.99</v>
      </c>
      <c r="L57" s="55">
        <v>0</v>
      </c>
      <c r="M57" s="56">
        <v>652.96</v>
      </c>
      <c r="N57" s="56">
        <v>0.05</v>
      </c>
      <c r="O57" s="56">
        <v>0.05</v>
      </c>
    </row>
    <row r="58" spans="1:15" x14ac:dyDescent="0.2">
      <c r="A58" s="197" t="s">
        <v>611</v>
      </c>
      <c r="B58" s="90">
        <v>872</v>
      </c>
      <c r="C58" s="48">
        <v>1900060831692</v>
      </c>
      <c r="D58" s="209" t="s">
        <v>611</v>
      </c>
      <c r="E58" s="90">
        <v>730</v>
      </c>
      <c r="F58" s="48">
        <v>1900060831708</v>
      </c>
      <c r="G58" s="209" t="s">
        <v>611</v>
      </c>
      <c r="H58" s="53">
        <v>0</v>
      </c>
      <c r="I58" s="54">
        <v>112.13</v>
      </c>
      <c r="J58" s="54">
        <v>1.1499999999999999</v>
      </c>
      <c r="K58" s="54">
        <v>1.1499999999999999</v>
      </c>
      <c r="L58" s="55">
        <v>-4.0000000000000001E-3</v>
      </c>
      <c r="M58" s="56">
        <v>299.01</v>
      </c>
      <c r="N58" s="56">
        <v>0.05</v>
      </c>
      <c r="O58" s="56">
        <v>0.05</v>
      </c>
    </row>
    <row r="59" spans="1:15" ht="25.5" x14ac:dyDescent="0.2">
      <c r="A59" s="197" t="s">
        <v>612</v>
      </c>
      <c r="B59" s="90">
        <v>804</v>
      </c>
      <c r="C59" s="48" t="s">
        <v>671</v>
      </c>
      <c r="D59" s="209" t="s">
        <v>612</v>
      </c>
      <c r="E59" s="90">
        <v>704</v>
      </c>
      <c r="F59" s="48" t="s">
        <v>678</v>
      </c>
      <c r="G59" s="209" t="s">
        <v>612</v>
      </c>
      <c r="H59" s="53">
        <v>0.14199999999999999</v>
      </c>
      <c r="I59" s="54">
        <v>1387.09</v>
      </c>
      <c r="J59" s="54">
        <v>1.01</v>
      </c>
      <c r="K59" s="54">
        <v>1.01</v>
      </c>
      <c r="L59" s="55">
        <v>-0.14299999999999999</v>
      </c>
      <c r="M59" s="56">
        <v>2854.23</v>
      </c>
      <c r="N59" s="56">
        <v>0.05</v>
      </c>
      <c r="O59" s="56">
        <v>0.05</v>
      </c>
    </row>
    <row r="60" spans="1:15" x14ac:dyDescent="0.2">
      <c r="A60" s="197" t="s">
        <v>613</v>
      </c>
      <c r="B60" s="90">
        <v>895</v>
      </c>
      <c r="C60" s="48">
        <v>1900091361962</v>
      </c>
      <c r="D60" s="209" t="s">
        <v>613</v>
      </c>
      <c r="E60" s="90">
        <v>707</v>
      </c>
      <c r="F60" s="48">
        <v>1900091361971</v>
      </c>
      <c r="G60" s="209" t="s">
        <v>613</v>
      </c>
      <c r="H60" s="53">
        <v>0</v>
      </c>
      <c r="I60" s="54">
        <v>11.34</v>
      </c>
      <c r="J60" s="54">
        <v>1.63</v>
      </c>
      <c r="K60" s="54">
        <v>1.63</v>
      </c>
      <c r="L60" s="55">
        <v>0</v>
      </c>
      <c r="M60" s="56">
        <v>648.14</v>
      </c>
      <c r="N60" s="56">
        <v>0.05</v>
      </c>
      <c r="O60" s="56">
        <v>0.05</v>
      </c>
    </row>
    <row r="61" spans="1:15" x14ac:dyDescent="0.2">
      <c r="A61" s="197" t="s">
        <v>614</v>
      </c>
      <c r="B61" s="90">
        <v>811</v>
      </c>
      <c r="C61" s="48">
        <v>1900091200388</v>
      </c>
      <c r="D61" s="209" t="s">
        <v>614</v>
      </c>
      <c r="E61" s="90">
        <v>743</v>
      </c>
      <c r="F61" s="48">
        <v>1900091200397</v>
      </c>
      <c r="G61" s="209" t="s">
        <v>614</v>
      </c>
      <c r="H61" s="53">
        <v>0</v>
      </c>
      <c r="I61" s="54">
        <v>17.91</v>
      </c>
      <c r="J61" s="54">
        <v>1.54</v>
      </c>
      <c r="K61" s="54">
        <v>1.54</v>
      </c>
      <c r="L61" s="55">
        <v>0</v>
      </c>
      <c r="M61" s="56">
        <v>895.42</v>
      </c>
      <c r="N61" s="56">
        <v>0.05</v>
      </c>
      <c r="O61" s="56">
        <v>0.05</v>
      </c>
    </row>
    <row r="62" spans="1:15" x14ac:dyDescent="0.2">
      <c r="A62" s="197" t="s">
        <v>616</v>
      </c>
      <c r="B62" s="90">
        <v>875</v>
      </c>
      <c r="C62" s="48">
        <v>1900060225185</v>
      </c>
      <c r="D62" s="209" t="s">
        <v>616</v>
      </c>
      <c r="E62" s="90">
        <v>727</v>
      </c>
      <c r="F62" s="48">
        <v>1900060225194</v>
      </c>
      <c r="G62" s="209" t="s">
        <v>616</v>
      </c>
      <c r="H62" s="53">
        <v>0</v>
      </c>
      <c r="I62" s="54">
        <v>411.64</v>
      </c>
      <c r="J62" s="54">
        <v>1</v>
      </c>
      <c r="K62" s="54">
        <v>1</v>
      </c>
      <c r="L62" s="55">
        <v>0</v>
      </c>
      <c r="M62" s="56">
        <v>0</v>
      </c>
      <c r="N62" s="56">
        <v>0</v>
      </c>
      <c r="O62" s="56">
        <v>0</v>
      </c>
    </row>
    <row r="63" spans="1:15" x14ac:dyDescent="0.2">
      <c r="A63" s="197" t="s">
        <v>617</v>
      </c>
      <c r="B63" s="90">
        <v>831</v>
      </c>
      <c r="C63" s="48">
        <v>1900091338040</v>
      </c>
      <c r="D63" s="209" t="s">
        <v>617</v>
      </c>
      <c r="E63" s="90">
        <v>708</v>
      </c>
      <c r="F63" s="48">
        <v>1900091338059</v>
      </c>
      <c r="G63" s="209" t="s">
        <v>617</v>
      </c>
      <c r="H63" s="53">
        <v>0.01</v>
      </c>
      <c r="I63" s="54">
        <v>15.15</v>
      </c>
      <c r="J63" s="54">
        <v>1.7</v>
      </c>
      <c r="K63" s="54">
        <v>1.7</v>
      </c>
      <c r="L63" s="55">
        <v>0</v>
      </c>
      <c r="M63" s="56">
        <v>1515.01</v>
      </c>
      <c r="N63" s="56">
        <v>0.05</v>
      </c>
      <c r="O63" s="56">
        <v>0.05</v>
      </c>
    </row>
    <row r="64" spans="1:15" x14ac:dyDescent="0.2">
      <c r="A64" s="197" t="s">
        <v>618</v>
      </c>
      <c r="B64" s="90">
        <v>812</v>
      </c>
      <c r="C64" s="48">
        <v>1900091217043</v>
      </c>
      <c r="D64" s="209" t="s">
        <v>618</v>
      </c>
      <c r="E64" s="90">
        <v>744</v>
      </c>
      <c r="F64" s="48">
        <v>1900091217052</v>
      </c>
      <c r="G64" s="209" t="s">
        <v>618</v>
      </c>
      <c r="H64" s="53">
        <v>0.52600000000000002</v>
      </c>
      <c r="I64" s="54">
        <v>1.82</v>
      </c>
      <c r="J64" s="54">
        <v>3.85</v>
      </c>
      <c r="K64" s="54">
        <v>3.85</v>
      </c>
      <c r="L64" s="55">
        <v>0</v>
      </c>
      <c r="M64" s="56">
        <v>689.39</v>
      </c>
      <c r="N64" s="56">
        <v>0.05</v>
      </c>
      <c r="O64" s="56">
        <v>0.05</v>
      </c>
    </row>
    <row r="65" spans="1:15" ht="25.5" x14ac:dyDescent="0.2">
      <c r="A65" s="197" t="s">
        <v>619</v>
      </c>
      <c r="B65" s="90">
        <v>876</v>
      </c>
      <c r="C65" s="48" t="s">
        <v>672</v>
      </c>
      <c r="D65" s="209" t="s">
        <v>619</v>
      </c>
      <c r="E65" s="90">
        <v>728</v>
      </c>
      <c r="F65" s="48" t="s">
        <v>679</v>
      </c>
      <c r="G65" s="209" t="s">
        <v>619</v>
      </c>
      <c r="H65" s="53">
        <v>0</v>
      </c>
      <c r="I65" s="54">
        <v>1.8</v>
      </c>
      <c r="J65" s="54">
        <v>1.1100000000000001</v>
      </c>
      <c r="K65" s="54">
        <v>1.1100000000000001</v>
      </c>
      <c r="L65" s="55">
        <v>0</v>
      </c>
      <c r="M65" s="56">
        <v>0</v>
      </c>
      <c r="N65" s="56">
        <v>0</v>
      </c>
      <c r="O65" s="56">
        <v>0</v>
      </c>
    </row>
    <row r="66" spans="1:15" x14ac:dyDescent="0.2">
      <c r="A66" s="197" t="s">
        <v>620</v>
      </c>
      <c r="B66" s="90">
        <v>813</v>
      </c>
      <c r="C66" s="48">
        <v>1900091217070</v>
      </c>
      <c r="D66" s="209" t="s">
        <v>620</v>
      </c>
      <c r="E66" s="90">
        <v>745</v>
      </c>
      <c r="F66" s="48">
        <v>1900091217080</v>
      </c>
      <c r="G66" s="209" t="s">
        <v>620</v>
      </c>
      <c r="H66" s="53">
        <v>0</v>
      </c>
      <c r="I66" s="54">
        <v>9.41</v>
      </c>
      <c r="J66" s="54">
        <v>1.5</v>
      </c>
      <c r="K66" s="54">
        <v>1.5</v>
      </c>
      <c r="L66" s="55">
        <v>0</v>
      </c>
      <c r="M66" s="56">
        <v>758.83</v>
      </c>
      <c r="N66" s="56">
        <v>0.05</v>
      </c>
      <c r="O66" s="56">
        <v>0.05</v>
      </c>
    </row>
    <row r="67" spans="1:15" x14ac:dyDescent="0.2">
      <c r="A67" s="197" t="s">
        <v>621</v>
      </c>
      <c r="B67" s="90">
        <v>824</v>
      </c>
      <c r="C67" s="48">
        <v>1900091200068</v>
      </c>
      <c r="D67" s="209" t="s">
        <v>621</v>
      </c>
      <c r="E67" s="90">
        <v>701</v>
      </c>
      <c r="F67" s="48">
        <v>1900091200077</v>
      </c>
      <c r="G67" s="209" t="s">
        <v>621</v>
      </c>
      <c r="H67" s="53">
        <v>0.14000000000000001</v>
      </c>
      <c r="I67" s="54">
        <v>13.17</v>
      </c>
      <c r="J67" s="54">
        <v>7.66</v>
      </c>
      <c r="K67" s="54">
        <v>7.66</v>
      </c>
      <c r="L67" s="55">
        <v>0</v>
      </c>
      <c r="M67" s="56">
        <v>1712.45</v>
      </c>
      <c r="N67" s="56">
        <v>0.05</v>
      </c>
      <c r="O67" s="56">
        <v>0.05</v>
      </c>
    </row>
    <row r="68" spans="1:15" x14ac:dyDescent="0.2">
      <c r="A68" s="197" t="s">
        <v>622</v>
      </c>
      <c r="B68" s="90">
        <v>814</v>
      </c>
      <c r="C68" s="48">
        <v>1900091199519</v>
      </c>
      <c r="D68" s="209" t="s">
        <v>622</v>
      </c>
      <c r="E68" s="90">
        <v>746</v>
      </c>
      <c r="F68" s="48">
        <v>1900091199528</v>
      </c>
      <c r="G68" s="209" t="s">
        <v>622</v>
      </c>
      <c r="H68" s="53">
        <v>0.16</v>
      </c>
      <c r="I68" s="54">
        <v>8.2799999999999994</v>
      </c>
      <c r="J68" s="54">
        <v>0.9</v>
      </c>
      <c r="K68" s="54">
        <v>0.9</v>
      </c>
      <c r="L68" s="55">
        <v>0</v>
      </c>
      <c r="M68" s="56">
        <v>305.60000000000002</v>
      </c>
      <c r="N68" s="56">
        <v>0.05</v>
      </c>
      <c r="O68" s="56">
        <v>0.05</v>
      </c>
    </row>
    <row r="69" spans="1:15" x14ac:dyDescent="0.2">
      <c r="A69" s="197" t="s">
        <v>623</v>
      </c>
      <c r="B69" s="90">
        <v>877</v>
      </c>
      <c r="C69" s="48">
        <v>1900070122273</v>
      </c>
      <c r="D69" s="209" t="s">
        <v>623</v>
      </c>
      <c r="E69" s="90">
        <v>722</v>
      </c>
      <c r="F69" s="48">
        <v>1900070122343</v>
      </c>
      <c r="G69" s="209" t="s">
        <v>623</v>
      </c>
      <c r="H69" s="53">
        <v>0.16</v>
      </c>
      <c r="I69" s="54">
        <v>6.82</v>
      </c>
      <c r="J69" s="54">
        <v>0.93</v>
      </c>
      <c r="K69" s="54">
        <v>0.93</v>
      </c>
      <c r="L69" s="55">
        <v>0</v>
      </c>
      <c r="M69" s="56">
        <v>0</v>
      </c>
      <c r="N69" s="56">
        <v>0</v>
      </c>
      <c r="O69" s="56">
        <v>0</v>
      </c>
    </row>
    <row r="70" spans="1:15" x14ac:dyDescent="0.2">
      <c r="A70" s="197" t="s">
        <v>624</v>
      </c>
      <c r="B70" s="90">
        <v>846</v>
      </c>
      <c r="C70" s="48">
        <v>1900091669720</v>
      </c>
      <c r="D70" s="209" t="s">
        <v>624</v>
      </c>
      <c r="E70" s="90">
        <v>699</v>
      </c>
      <c r="F70" s="48">
        <v>1900091669739</v>
      </c>
      <c r="G70" s="209" t="s">
        <v>624</v>
      </c>
      <c r="H70" s="53">
        <v>0</v>
      </c>
      <c r="I70" s="54">
        <v>260.45999999999998</v>
      </c>
      <c r="J70" s="54">
        <v>1.07</v>
      </c>
      <c r="K70" s="54">
        <v>1.07</v>
      </c>
      <c r="L70" s="55">
        <v>0</v>
      </c>
      <c r="M70" s="56">
        <v>2467.91</v>
      </c>
      <c r="N70" s="56">
        <v>0.05</v>
      </c>
      <c r="O70" s="56">
        <v>0.05</v>
      </c>
    </row>
    <row r="71" spans="1:15" x14ac:dyDescent="0.2">
      <c r="A71" s="197" t="s">
        <v>625</v>
      </c>
      <c r="B71" s="90">
        <v>803</v>
      </c>
      <c r="C71" s="48">
        <v>1900091091930</v>
      </c>
      <c r="D71" s="209" t="s">
        <v>625</v>
      </c>
      <c r="E71" s="90">
        <v>735</v>
      </c>
      <c r="F71" s="48">
        <v>1900091091940</v>
      </c>
      <c r="G71" s="209" t="s">
        <v>625</v>
      </c>
      <c r="H71" s="53">
        <v>8.9999999999999993E-3</v>
      </c>
      <c r="I71" s="54">
        <v>13.55</v>
      </c>
      <c r="J71" s="54">
        <v>2.0099999999999998</v>
      </c>
      <c r="K71" s="54">
        <v>2.0099999999999998</v>
      </c>
      <c r="L71" s="55">
        <v>0</v>
      </c>
      <c r="M71" s="56">
        <v>1280.54</v>
      </c>
      <c r="N71" s="56">
        <v>0.05</v>
      </c>
      <c r="O71" s="56">
        <v>0.05</v>
      </c>
    </row>
    <row r="72" spans="1:15" x14ac:dyDescent="0.2">
      <c r="A72" s="197" t="s">
        <v>626</v>
      </c>
      <c r="B72" s="90">
        <v>815</v>
      </c>
      <c r="C72" s="48">
        <v>1900091171267</v>
      </c>
      <c r="D72" s="209" t="s">
        <v>626</v>
      </c>
      <c r="E72" s="90">
        <v>747</v>
      </c>
      <c r="F72" s="48">
        <v>1900091171276</v>
      </c>
      <c r="G72" s="209" t="s">
        <v>626</v>
      </c>
      <c r="H72" s="53">
        <v>1E-3</v>
      </c>
      <c r="I72" s="54">
        <v>7.86</v>
      </c>
      <c r="J72" s="54">
        <v>2.0499999999999998</v>
      </c>
      <c r="K72" s="54">
        <v>2.0499999999999998</v>
      </c>
      <c r="L72" s="55">
        <v>0</v>
      </c>
      <c r="M72" s="56">
        <v>737.29</v>
      </c>
      <c r="N72" s="56">
        <v>0.05</v>
      </c>
      <c r="O72" s="56">
        <v>0.05</v>
      </c>
    </row>
    <row r="73" spans="1:15" x14ac:dyDescent="0.2">
      <c r="A73" s="197" t="s">
        <v>627</v>
      </c>
      <c r="B73" s="90">
        <v>878</v>
      </c>
      <c r="C73" s="48">
        <v>1900090194653</v>
      </c>
      <c r="D73" s="209" t="s">
        <v>627</v>
      </c>
      <c r="E73" s="90">
        <v>721</v>
      </c>
      <c r="F73" s="48">
        <v>1900090194644</v>
      </c>
      <c r="G73" s="209" t="s">
        <v>627</v>
      </c>
      <c r="H73" s="53">
        <v>6.0000000000000001E-3</v>
      </c>
      <c r="I73" s="54">
        <v>5.87</v>
      </c>
      <c r="J73" s="54">
        <v>1.1599999999999999</v>
      </c>
      <c r="K73" s="54">
        <v>1.1599999999999999</v>
      </c>
      <c r="L73" s="55">
        <v>0</v>
      </c>
      <c r="M73" s="56">
        <v>762.37</v>
      </c>
      <c r="N73" s="56">
        <v>0.05</v>
      </c>
      <c r="O73" s="56">
        <v>0.05</v>
      </c>
    </row>
    <row r="74" spans="1:15" x14ac:dyDescent="0.2">
      <c r="A74" s="197" t="s">
        <v>628</v>
      </c>
      <c r="B74" s="90">
        <v>808</v>
      </c>
      <c r="C74" s="48">
        <v>1900091081560</v>
      </c>
      <c r="D74" s="209" t="s">
        <v>628</v>
      </c>
      <c r="E74" s="90">
        <v>736</v>
      </c>
      <c r="F74" s="48">
        <v>1900091081570</v>
      </c>
      <c r="G74" s="209" t="s">
        <v>628</v>
      </c>
      <c r="H74" s="53">
        <v>9.5000000000000001E-2</v>
      </c>
      <c r="I74" s="54">
        <v>12.81</v>
      </c>
      <c r="J74" s="54">
        <v>2.9</v>
      </c>
      <c r="K74" s="54">
        <v>2.9</v>
      </c>
      <c r="L74" s="55">
        <v>0</v>
      </c>
      <c r="M74" s="56">
        <v>1281.28</v>
      </c>
      <c r="N74" s="56">
        <v>0.05</v>
      </c>
      <c r="O74" s="56">
        <v>0.05</v>
      </c>
    </row>
    <row r="75" spans="1:15" x14ac:dyDescent="0.2">
      <c r="A75" s="197" t="s">
        <v>629</v>
      </c>
      <c r="B75" s="90">
        <v>816</v>
      </c>
      <c r="C75" s="48">
        <v>1900091200138</v>
      </c>
      <c r="D75" s="209" t="s">
        <v>629</v>
      </c>
      <c r="E75" s="90">
        <v>748</v>
      </c>
      <c r="F75" s="48">
        <v>1900091200147</v>
      </c>
      <c r="G75" s="209" t="s">
        <v>629</v>
      </c>
      <c r="H75" s="53">
        <v>1.1279999999999999</v>
      </c>
      <c r="I75" s="54">
        <v>10.99</v>
      </c>
      <c r="J75" s="54">
        <v>2.08</v>
      </c>
      <c r="K75" s="54">
        <v>2.08</v>
      </c>
      <c r="L75" s="55">
        <v>0</v>
      </c>
      <c r="M75" s="56">
        <v>769.07</v>
      </c>
      <c r="N75" s="56">
        <v>0.05</v>
      </c>
      <c r="O75" s="56">
        <v>0.05</v>
      </c>
    </row>
    <row r="76" spans="1:15" x14ac:dyDescent="0.2">
      <c r="A76" s="197" t="s">
        <v>630</v>
      </c>
      <c r="B76" s="90">
        <v>896</v>
      </c>
      <c r="C76" s="48">
        <v>1900091310596</v>
      </c>
      <c r="D76" s="209" t="s">
        <v>630</v>
      </c>
      <c r="E76" s="90">
        <v>709</v>
      </c>
      <c r="F76" s="48">
        <v>1900091310601</v>
      </c>
      <c r="G76" s="209" t="s">
        <v>630</v>
      </c>
      <c r="H76" s="53">
        <v>5.8999999999999997E-2</v>
      </c>
      <c r="I76" s="54">
        <v>20.03</v>
      </c>
      <c r="J76" s="54">
        <v>1.82</v>
      </c>
      <c r="K76" s="54">
        <v>1.82</v>
      </c>
      <c r="L76" s="55">
        <v>0</v>
      </c>
      <c r="M76" s="56">
        <v>817.15</v>
      </c>
      <c r="N76" s="56">
        <v>0.05</v>
      </c>
      <c r="O76" s="56">
        <v>0.05</v>
      </c>
    </row>
    <row r="77" spans="1:15" x14ac:dyDescent="0.2">
      <c r="A77" s="197" t="s">
        <v>631</v>
      </c>
      <c r="B77" s="90">
        <v>819</v>
      </c>
      <c r="C77" s="48">
        <v>1900091183402</v>
      </c>
      <c r="D77" s="209" t="s">
        <v>631</v>
      </c>
      <c r="E77" s="90">
        <v>751</v>
      </c>
      <c r="F77" s="48">
        <v>1900091183411</v>
      </c>
      <c r="G77" s="209" t="s">
        <v>631</v>
      </c>
      <c r="H77" s="53">
        <v>0.21099999999999999</v>
      </c>
      <c r="I77" s="54">
        <v>2.4900000000000002</v>
      </c>
      <c r="J77" s="54">
        <v>1.79</v>
      </c>
      <c r="K77" s="54">
        <v>1.79</v>
      </c>
      <c r="L77" s="55">
        <v>0</v>
      </c>
      <c r="M77" s="56">
        <v>311.39</v>
      </c>
      <c r="N77" s="56">
        <v>0.05</v>
      </c>
      <c r="O77" s="56">
        <v>0.05</v>
      </c>
    </row>
    <row r="78" spans="1:15" x14ac:dyDescent="0.2">
      <c r="A78" s="197" t="s">
        <v>632</v>
      </c>
      <c r="B78" s="90">
        <v>817</v>
      </c>
      <c r="C78" s="48">
        <v>1900091079241</v>
      </c>
      <c r="D78" s="209" t="s">
        <v>632</v>
      </c>
      <c r="E78" s="90">
        <v>749</v>
      </c>
      <c r="F78" s="48">
        <v>1900091079232</v>
      </c>
      <c r="G78" s="209" t="s">
        <v>632</v>
      </c>
      <c r="H78" s="53">
        <v>0.25800000000000001</v>
      </c>
      <c r="I78" s="54">
        <v>1.37</v>
      </c>
      <c r="J78" s="54">
        <v>3.47</v>
      </c>
      <c r="K78" s="54">
        <v>3.47</v>
      </c>
      <c r="L78" s="55">
        <v>0</v>
      </c>
      <c r="M78" s="56">
        <v>658.12</v>
      </c>
      <c r="N78" s="56">
        <v>0.05</v>
      </c>
      <c r="O78" s="56">
        <v>0.05</v>
      </c>
    </row>
    <row r="79" spans="1:15" x14ac:dyDescent="0.2">
      <c r="A79" s="197" t="s">
        <v>633</v>
      </c>
      <c r="B79" s="90">
        <v>897</v>
      </c>
      <c r="C79" s="48">
        <v>1900091199138</v>
      </c>
      <c r="D79" s="209" t="s">
        <v>633</v>
      </c>
      <c r="E79" s="90">
        <v>710</v>
      </c>
      <c r="F79" s="48">
        <v>1900091199147</v>
      </c>
      <c r="G79" s="209" t="s">
        <v>633</v>
      </c>
      <c r="H79" s="53">
        <v>0</v>
      </c>
      <c r="I79" s="54">
        <v>1005.02</v>
      </c>
      <c r="J79" s="54">
        <v>1.08</v>
      </c>
      <c r="K79" s="54">
        <v>1.08</v>
      </c>
      <c r="L79" s="55">
        <v>0</v>
      </c>
      <c r="M79" s="56">
        <v>5286.38</v>
      </c>
      <c r="N79" s="56">
        <v>0.05</v>
      </c>
      <c r="O79" s="56">
        <v>0.05</v>
      </c>
    </row>
    <row r="80" spans="1:15" x14ac:dyDescent="0.2">
      <c r="A80" s="197" t="s">
        <v>634</v>
      </c>
      <c r="B80" s="90">
        <v>800</v>
      </c>
      <c r="C80" s="48">
        <v>1900090585014</v>
      </c>
      <c r="D80" s="209" t="s">
        <v>634</v>
      </c>
      <c r="E80" s="90">
        <v>700</v>
      </c>
      <c r="F80" s="48">
        <v>1900090585005</v>
      </c>
      <c r="G80" s="209" t="s">
        <v>634</v>
      </c>
      <c r="H80" s="53">
        <v>0.60599999999999998</v>
      </c>
      <c r="I80" s="54">
        <v>39.229999999999997</v>
      </c>
      <c r="J80" s="54">
        <v>1.24</v>
      </c>
      <c r="K80" s="54">
        <v>1.24</v>
      </c>
      <c r="L80" s="55">
        <v>-0.60599999999999998</v>
      </c>
      <c r="M80" s="56">
        <v>274.64</v>
      </c>
      <c r="N80" s="56">
        <v>0.05</v>
      </c>
      <c r="O80" s="56">
        <v>0.05</v>
      </c>
    </row>
    <row r="81" spans="1:15" x14ac:dyDescent="0.2">
      <c r="A81" s="197" t="s">
        <v>635</v>
      </c>
      <c r="B81" s="90">
        <v>845</v>
      </c>
      <c r="C81" s="48">
        <v>1900091718313</v>
      </c>
      <c r="D81" s="209" t="s">
        <v>635</v>
      </c>
      <c r="E81" s="90">
        <v>698</v>
      </c>
      <c r="F81" s="48">
        <v>1900091718322</v>
      </c>
      <c r="G81" s="209" t="s">
        <v>635</v>
      </c>
      <c r="H81" s="53">
        <v>0</v>
      </c>
      <c r="I81" s="54">
        <v>3.51</v>
      </c>
      <c r="J81" s="54">
        <v>2.2000000000000002</v>
      </c>
      <c r="K81" s="54">
        <v>2.2000000000000002</v>
      </c>
      <c r="L81" s="55">
        <v>0</v>
      </c>
      <c r="M81" s="56">
        <v>1404.81</v>
      </c>
      <c r="N81" s="56">
        <v>0.05</v>
      </c>
      <c r="O81" s="56">
        <v>0.05</v>
      </c>
    </row>
    <row r="82" spans="1:15" x14ac:dyDescent="0.2">
      <c r="A82" s="197" t="s">
        <v>636</v>
      </c>
      <c r="B82" s="90">
        <v>820</v>
      </c>
      <c r="C82" s="48">
        <v>1900091197414</v>
      </c>
      <c r="D82" s="209" t="s">
        <v>636</v>
      </c>
      <c r="E82" s="90">
        <v>752</v>
      </c>
      <c r="F82" s="48">
        <v>1900091197423</v>
      </c>
      <c r="G82" s="209" t="s">
        <v>636</v>
      </c>
      <c r="H82" s="53">
        <v>0.10199999999999999</v>
      </c>
      <c r="I82" s="54">
        <v>5.72</v>
      </c>
      <c r="J82" s="54">
        <v>2.34</v>
      </c>
      <c r="K82" s="54">
        <v>2.34</v>
      </c>
      <c r="L82" s="55">
        <v>0</v>
      </c>
      <c r="M82" s="56">
        <v>628.38</v>
      </c>
      <c r="N82" s="56">
        <v>0.05</v>
      </c>
      <c r="O82" s="56">
        <v>0.05</v>
      </c>
    </row>
    <row r="83" spans="1:15" x14ac:dyDescent="0.2">
      <c r="A83" s="197" t="s">
        <v>637</v>
      </c>
      <c r="B83" s="90">
        <v>805</v>
      </c>
      <c r="C83" s="48">
        <v>1900091024517</v>
      </c>
      <c r="D83" s="209" t="s">
        <v>637</v>
      </c>
      <c r="E83" s="90">
        <v>739</v>
      </c>
      <c r="F83" s="48">
        <v>1900091024526</v>
      </c>
      <c r="G83" s="209" t="s">
        <v>637</v>
      </c>
      <c r="H83" s="53">
        <v>2E-3</v>
      </c>
      <c r="I83" s="54">
        <v>4.13</v>
      </c>
      <c r="J83" s="54">
        <v>2.59</v>
      </c>
      <c r="K83" s="54">
        <v>2.59</v>
      </c>
      <c r="L83" s="55">
        <v>0</v>
      </c>
      <c r="M83" s="56">
        <v>826.7</v>
      </c>
      <c r="N83" s="56">
        <v>0.05</v>
      </c>
      <c r="O83" s="56">
        <v>0.05</v>
      </c>
    </row>
    <row r="84" spans="1:15" ht="51" x14ac:dyDescent="0.2">
      <c r="A84" s="197" t="s">
        <v>638</v>
      </c>
      <c r="B84" s="90">
        <v>898</v>
      </c>
      <c r="C84" s="48" t="s">
        <v>673</v>
      </c>
      <c r="D84" s="209" t="s">
        <v>638</v>
      </c>
      <c r="E84" s="90">
        <v>753</v>
      </c>
      <c r="F84" s="48" t="s">
        <v>680</v>
      </c>
      <c r="G84" s="209" t="s">
        <v>638</v>
      </c>
      <c r="H84" s="53">
        <v>2E-3</v>
      </c>
      <c r="I84" s="54">
        <v>5.19</v>
      </c>
      <c r="J84" s="54">
        <v>2.56</v>
      </c>
      <c r="K84" s="54">
        <v>2.56</v>
      </c>
      <c r="L84" s="55">
        <v>0</v>
      </c>
      <c r="M84" s="56">
        <v>933.53</v>
      </c>
      <c r="N84" s="56">
        <v>0.05</v>
      </c>
      <c r="O84" s="56">
        <v>0.05</v>
      </c>
    </row>
    <row r="85" spans="1:15" ht="25.5" x14ac:dyDescent="0.2">
      <c r="A85" s="197" t="s">
        <v>1774</v>
      </c>
      <c r="B85" s="90">
        <v>898</v>
      </c>
      <c r="C85" s="48" t="s">
        <v>1775</v>
      </c>
      <c r="D85" s="209"/>
      <c r="E85" s="90"/>
      <c r="F85" s="48"/>
      <c r="G85" s="209" t="s">
        <v>638</v>
      </c>
      <c r="H85" s="53">
        <v>2E-3</v>
      </c>
      <c r="I85" s="54"/>
      <c r="J85" s="54"/>
      <c r="K85" s="54"/>
      <c r="L85" s="55">
        <v>0</v>
      </c>
      <c r="M85" s="56"/>
      <c r="N85" s="56"/>
      <c r="O85" s="56"/>
    </row>
    <row r="86" spans="1:15" x14ac:dyDescent="0.2">
      <c r="A86" s="197" t="s">
        <v>639</v>
      </c>
      <c r="B86" s="90">
        <v>822</v>
      </c>
      <c r="C86" s="48">
        <v>1900091216634</v>
      </c>
      <c r="D86" s="209" t="s">
        <v>639</v>
      </c>
      <c r="E86" s="90">
        <v>754</v>
      </c>
      <c r="F86" s="48">
        <v>1900091216643</v>
      </c>
      <c r="G86" s="209" t="s">
        <v>639</v>
      </c>
      <c r="H86" s="53">
        <v>0.59</v>
      </c>
      <c r="I86" s="54">
        <v>4.34</v>
      </c>
      <c r="J86" s="54">
        <v>1.99</v>
      </c>
      <c r="K86" s="54">
        <v>1.99</v>
      </c>
      <c r="L86" s="55">
        <v>0</v>
      </c>
      <c r="M86" s="56">
        <v>686.88</v>
      </c>
      <c r="N86" s="56">
        <v>0.05</v>
      </c>
      <c r="O86" s="56">
        <v>0.05</v>
      </c>
    </row>
    <row r="87" spans="1:15" x14ac:dyDescent="0.2">
      <c r="A87" s="197" t="s">
        <v>640</v>
      </c>
      <c r="B87" s="90">
        <v>827</v>
      </c>
      <c r="C87" s="48">
        <v>1900091227307</v>
      </c>
      <c r="D87" s="209" t="s">
        <v>640</v>
      </c>
      <c r="E87" s="90">
        <v>719</v>
      </c>
      <c r="F87" s="48">
        <v>1900091227316</v>
      </c>
      <c r="G87" s="209" t="s">
        <v>640</v>
      </c>
      <c r="H87" s="53">
        <v>0</v>
      </c>
      <c r="I87" s="54">
        <v>6.15</v>
      </c>
      <c r="J87" s="54">
        <v>1.26</v>
      </c>
      <c r="K87" s="54">
        <v>1.26</v>
      </c>
      <c r="L87" s="55">
        <v>0</v>
      </c>
      <c r="M87" s="56">
        <v>307.72000000000003</v>
      </c>
      <c r="N87" s="56">
        <v>0.05</v>
      </c>
      <c r="O87" s="56">
        <v>0.05</v>
      </c>
    </row>
    <row r="88" spans="1:15" x14ac:dyDescent="0.2">
      <c r="A88" s="197" t="s">
        <v>641</v>
      </c>
      <c r="B88" s="90">
        <v>899</v>
      </c>
      <c r="C88" s="48">
        <v>1900091319942</v>
      </c>
      <c r="D88" s="209" t="s">
        <v>641</v>
      </c>
      <c r="E88" s="90">
        <v>717</v>
      </c>
      <c r="F88" s="48">
        <v>1900091320006</v>
      </c>
      <c r="G88" s="209" t="s">
        <v>641</v>
      </c>
      <c r="H88" s="53">
        <v>0</v>
      </c>
      <c r="I88" s="54">
        <v>4.3099999999999996</v>
      </c>
      <c r="J88" s="54">
        <v>2.14</v>
      </c>
      <c r="K88" s="54">
        <v>2.14</v>
      </c>
      <c r="L88" s="55">
        <v>0</v>
      </c>
      <c r="M88" s="56">
        <v>648.83000000000004</v>
      </c>
      <c r="N88" s="56">
        <v>0.05</v>
      </c>
      <c r="O88" s="56">
        <v>0.05</v>
      </c>
    </row>
    <row r="89" spans="1:15" x14ac:dyDescent="0.2">
      <c r="A89" s="197" t="s">
        <v>642</v>
      </c>
      <c r="B89" s="90">
        <v>826</v>
      </c>
      <c r="C89" s="48">
        <v>1900091178954</v>
      </c>
      <c r="D89" s="209" t="s">
        <v>642</v>
      </c>
      <c r="E89" s="90">
        <v>703</v>
      </c>
      <c r="F89" s="48">
        <v>1900091178963</v>
      </c>
      <c r="G89" s="209" t="s">
        <v>642</v>
      </c>
      <c r="H89" s="53">
        <v>0</v>
      </c>
      <c r="I89" s="54">
        <v>11.71</v>
      </c>
      <c r="J89" s="54">
        <v>2.31</v>
      </c>
      <c r="K89" s="54">
        <v>2.31</v>
      </c>
      <c r="L89" s="55">
        <v>0</v>
      </c>
      <c r="M89" s="56">
        <v>1171.32</v>
      </c>
      <c r="N89" s="56">
        <v>0.05</v>
      </c>
      <c r="O89" s="56">
        <v>0.05</v>
      </c>
    </row>
    <row r="90" spans="1:15" x14ac:dyDescent="0.2">
      <c r="A90" s="197" t="s">
        <v>643</v>
      </c>
      <c r="B90" s="90">
        <v>900</v>
      </c>
      <c r="C90" s="48">
        <v>1900091360950</v>
      </c>
      <c r="D90" s="209" t="s">
        <v>643</v>
      </c>
      <c r="E90" s="90">
        <v>720</v>
      </c>
      <c r="F90" s="48">
        <v>1900091360969</v>
      </c>
      <c r="G90" s="209" t="s">
        <v>643</v>
      </c>
      <c r="H90" s="53">
        <v>2.5999999999999999E-2</v>
      </c>
      <c r="I90" s="54">
        <v>3.71</v>
      </c>
      <c r="J90" s="54">
        <v>2.95</v>
      </c>
      <c r="K90" s="54">
        <v>2.95</v>
      </c>
      <c r="L90" s="55">
        <v>0</v>
      </c>
      <c r="M90" s="56">
        <v>719.24</v>
      </c>
      <c r="N90" s="56">
        <v>0.05</v>
      </c>
      <c r="O90" s="56">
        <v>0.05</v>
      </c>
    </row>
    <row r="91" spans="1:15" x14ac:dyDescent="0.2">
      <c r="A91" s="197" t="s">
        <v>644</v>
      </c>
      <c r="B91" s="90"/>
      <c r="C91" s="48" t="s">
        <v>684</v>
      </c>
      <c r="D91" s="209" t="s">
        <v>644</v>
      </c>
      <c r="E91" s="90"/>
      <c r="F91" s="48" t="s">
        <v>684</v>
      </c>
      <c r="G91" s="209" t="s">
        <v>644</v>
      </c>
      <c r="H91" s="53">
        <v>0.60699999999999998</v>
      </c>
      <c r="I91" s="54">
        <v>1.35</v>
      </c>
      <c r="J91" s="54">
        <v>1.1499999999999999</v>
      </c>
      <c r="K91" s="54">
        <v>1.1499999999999999</v>
      </c>
      <c r="L91" s="55">
        <v>-0.65</v>
      </c>
      <c r="M91" s="56">
        <v>108.06</v>
      </c>
      <c r="N91" s="56">
        <v>0.05</v>
      </c>
      <c r="O91" s="56">
        <v>0.05</v>
      </c>
    </row>
    <row r="92" spans="1:15" x14ac:dyDescent="0.2">
      <c r="A92" s="197" t="s">
        <v>645</v>
      </c>
      <c r="B92" s="90">
        <v>832</v>
      </c>
      <c r="C92" s="48">
        <v>1900091420128</v>
      </c>
      <c r="D92" s="209" t="s">
        <v>645</v>
      </c>
      <c r="E92" s="90">
        <v>718</v>
      </c>
      <c r="F92" s="48">
        <v>1900091420137</v>
      </c>
      <c r="G92" s="209" t="s">
        <v>645</v>
      </c>
      <c r="H92" s="53">
        <v>2.1779999999999999</v>
      </c>
      <c r="I92" s="54">
        <v>45.89</v>
      </c>
      <c r="J92" s="54">
        <v>1.3</v>
      </c>
      <c r="K92" s="54">
        <v>1.3</v>
      </c>
      <c r="L92" s="55">
        <v>0</v>
      </c>
      <c r="M92" s="56">
        <v>1720.73</v>
      </c>
      <c r="N92" s="56">
        <v>0.05</v>
      </c>
      <c r="O92" s="56">
        <v>0.05</v>
      </c>
    </row>
    <row r="93" spans="1:15" x14ac:dyDescent="0.2">
      <c r="A93" s="197" t="s">
        <v>646</v>
      </c>
      <c r="B93" s="90"/>
      <c r="C93" s="48" t="s">
        <v>685</v>
      </c>
      <c r="D93" s="209" t="s">
        <v>646</v>
      </c>
      <c r="E93" s="90"/>
      <c r="F93" s="48" t="s">
        <v>686</v>
      </c>
      <c r="G93" s="209" t="s">
        <v>646</v>
      </c>
      <c r="H93" s="53">
        <v>0</v>
      </c>
      <c r="I93" s="54">
        <v>273.63</v>
      </c>
      <c r="J93" s="54">
        <v>1.42</v>
      </c>
      <c r="K93" s="54">
        <v>1.42</v>
      </c>
      <c r="L93" s="55">
        <v>0</v>
      </c>
      <c r="M93" s="56">
        <v>0</v>
      </c>
      <c r="N93" s="56">
        <v>0</v>
      </c>
      <c r="O93" s="56">
        <v>0</v>
      </c>
    </row>
    <row r="94" spans="1:15" ht="25.5" x14ac:dyDescent="0.2">
      <c r="A94" s="197" t="s">
        <v>647</v>
      </c>
      <c r="B94" s="90">
        <v>823</v>
      </c>
      <c r="C94" s="48" t="s">
        <v>674</v>
      </c>
      <c r="D94" s="209" t="s">
        <v>647</v>
      </c>
      <c r="E94" s="90">
        <v>755</v>
      </c>
      <c r="F94" s="48" t="s">
        <v>681</v>
      </c>
      <c r="G94" s="209" t="s">
        <v>647</v>
      </c>
      <c r="H94" s="53">
        <v>1.6E-2</v>
      </c>
      <c r="I94" s="54">
        <v>38.049999999999997</v>
      </c>
      <c r="J94" s="54">
        <v>1.55</v>
      </c>
      <c r="K94" s="54">
        <v>1.55</v>
      </c>
      <c r="L94" s="55">
        <v>0</v>
      </c>
      <c r="M94" s="56">
        <v>1598.22</v>
      </c>
      <c r="N94" s="56">
        <v>0.05</v>
      </c>
      <c r="O94" s="56">
        <v>0.05</v>
      </c>
    </row>
    <row r="95" spans="1:15" x14ac:dyDescent="0.2">
      <c r="A95" s="197" t="s">
        <v>648</v>
      </c>
      <c r="B95" s="90">
        <v>883</v>
      </c>
      <c r="C95" s="48">
        <v>1900060830217</v>
      </c>
      <c r="D95" s="209" t="s">
        <v>648</v>
      </c>
      <c r="E95" s="90">
        <v>729</v>
      </c>
      <c r="F95" s="48">
        <v>1900060830226</v>
      </c>
      <c r="G95" s="209" t="s">
        <v>648</v>
      </c>
      <c r="H95" s="53">
        <v>0</v>
      </c>
      <c r="I95" s="54">
        <v>1299.22</v>
      </c>
      <c r="J95" s="54">
        <v>1.6</v>
      </c>
      <c r="K95" s="54">
        <v>1.6</v>
      </c>
      <c r="L95" s="55">
        <v>0</v>
      </c>
      <c r="M95" s="56">
        <v>0</v>
      </c>
      <c r="N95" s="56">
        <v>0</v>
      </c>
      <c r="O95" s="56">
        <v>0</v>
      </c>
    </row>
    <row r="96" spans="1:15" x14ac:dyDescent="0.2">
      <c r="A96" s="197" t="s">
        <v>649</v>
      </c>
      <c r="B96" s="90">
        <v>807</v>
      </c>
      <c r="C96" s="48">
        <v>1900091090096</v>
      </c>
      <c r="D96" s="209" t="s">
        <v>649</v>
      </c>
      <c r="E96" s="90">
        <v>737</v>
      </c>
      <c r="F96" s="48">
        <v>1900091090101</v>
      </c>
      <c r="G96" s="209" t="s">
        <v>649</v>
      </c>
      <c r="H96" s="53">
        <v>5.7000000000000002E-2</v>
      </c>
      <c r="I96" s="54">
        <v>57.7</v>
      </c>
      <c r="J96" s="54">
        <v>2.0099999999999998</v>
      </c>
      <c r="K96" s="54">
        <v>2.0099999999999998</v>
      </c>
      <c r="L96" s="55">
        <v>0</v>
      </c>
      <c r="M96" s="56">
        <v>2077.2399999999998</v>
      </c>
      <c r="N96" s="56">
        <v>0.05</v>
      </c>
      <c r="O96" s="56">
        <v>0.05</v>
      </c>
    </row>
    <row r="97" spans="1:15" ht="63.75" x14ac:dyDescent="0.2">
      <c r="A97" s="197" t="s">
        <v>650</v>
      </c>
      <c r="B97" s="90">
        <v>850</v>
      </c>
      <c r="C97" s="48" t="s">
        <v>675</v>
      </c>
      <c r="D97" s="209" t="s">
        <v>650</v>
      </c>
      <c r="E97" s="90">
        <v>733</v>
      </c>
      <c r="F97" s="48" t="s">
        <v>682</v>
      </c>
      <c r="G97" s="209" t="s">
        <v>650</v>
      </c>
      <c r="H97" s="53">
        <v>8.9999999999999993E-3</v>
      </c>
      <c r="I97" s="54">
        <v>3211.71</v>
      </c>
      <c r="J97" s="54">
        <v>1.36</v>
      </c>
      <c r="K97" s="54">
        <v>1.36</v>
      </c>
      <c r="L97" s="55">
        <v>0</v>
      </c>
      <c r="M97" s="56">
        <v>3211.71</v>
      </c>
      <c r="N97" s="56">
        <v>0.05</v>
      </c>
      <c r="O97" s="56">
        <v>0.05</v>
      </c>
    </row>
    <row r="98" spans="1:15" x14ac:dyDescent="0.2">
      <c r="A98" s="197" t="s">
        <v>651</v>
      </c>
      <c r="B98" s="90"/>
      <c r="C98" s="48" t="s">
        <v>687</v>
      </c>
      <c r="D98" s="209" t="s">
        <v>651</v>
      </c>
      <c r="E98" s="90"/>
      <c r="F98" s="48" t="s">
        <v>687</v>
      </c>
      <c r="G98" s="209" t="s">
        <v>651</v>
      </c>
      <c r="H98" s="53">
        <v>1.4999999999999999E-2</v>
      </c>
      <c r="I98" s="54">
        <v>14.45</v>
      </c>
      <c r="J98" s="54">
        <v>1.3</v>
      </c>
      <c r="K98" s="54">
        <v>1.3</v>
      </c>
      <c r="L98" s="55">
        <v>0</v>
      </c>
      <c r="M98" s="56">
        <v>1522.03</v>
      </c>
      <c r="N98" s="56">
        <v>0.05</v>
      </c>
      <c r="O98" s="56">
        <v>0.05</v>
      </c>
    </row>
    <row r="99" spans="1:15" x14ac:dyDescent="0.2">
      <c r="A99" s="197" t="s">
        <v>652</v>
      </c>
      <c r="B99" s="90">
        <v>818</v>
      </c>
      <c r="C99" s="48">
        <v>1900091171364</v>
      </c>
      <c r="D99" s="209" t="s">
        <v>652</v>
      </c>
      <c r="E99" s="90">
        <v>750</v>
      </c>
      <c r="F99" s="48">
        <v>1900091171373</v>
      </c>
      <c r="G99" s="209" t="s">
        <v>652</v>
      </c>
      <c r="H99" s="53">
        <v>1.2999999999999999E-2</v>
      </c>
      <c r="I99" s="54">
        <v>19.55</v>
      </c>
      <c r="J99" s="54">
        <v>2.37</v>
      </c>
      <c r="K99" s="54">
        <v>2.37</v>
      </c>
      <c r="L99" s="55">
        <v>0</v>
      </c>
      <c r="M99" s="56">
        <v>2032.89</v>
      </c>
      <c r="N99" s="56">
        <v>0.05</v>
      </c>
      <c r="O99" s="56">
        <v>0.05</v>
      </c>
    </row>
    <row r="100" spans="1:15" x14ac:dyDescent="0.2">
      <c r="A100" s="197" t="s">
        <v>653</v>
      </c>
      <c r="B100" s="90">
        <v>828</v>
      </c>
      <c r="C100" s="48">
        <v>1900091363000</v>
      </c>
      <c r="D100" s="209" t="s">
        <v>653</v>
      </c>
      <c r="E100" s="90">
        <v>711</v>
      </c>
      <c r="F100" s="48">
        <v>1900091363019</v>
      </c>
      <c r="G100" s="209" t="s">
        <v>653</v>
      </c>
      <c r="H100" s="53">
        <v>0</v>
      </c>
      <c r="I100" s="54">
        <v>29.72</v>
      </c>
      <c r="J100" s="54">
        <v>1.96</v>
      </c>
      <c r="K100" s="54">
        <v>1.96</v>
      </c>
      <c r="L100" s="55">
        <v>0</v>
      </c>
      <c r="M100" s="56">
        <v>2311.46</v>
      </c>
      <c r="N100" s="56">
        <v>0.05</v>
      </c>
      <c r="O100" s="56">
        <v>0.05</v>
      </c>
    </row>
    <row r="101" spans="1:15" x14ac:dyDescent="0.2">
      <c r="A101" s="197" t="s">
        <v>654</v>
      </c>
      <c r="B101" s="90">
        <v>825</v>
      </c>
      <c r="C101" s="48">
        <v>1900091207124</v>
      </c>
      <c r="D101" s="209" t="s">
        <v>654</v>
      </c>
      <c r="E101" s="90">
        <v>702</v>
      </c>
      <c r="F101" s="48">
        <v>1900091207133</v>
      </c>
      <c r="G101" s="209" t="s">
        <v>654</v>
      </c>
      <c r="H101" s="53">
        <v>8.9999999999999993E-3</v>
      </c>
      <c r="I101" s="54">
        <v>21.97</v>
      </c>
      <c r="J101" s="54">
        <v>2.38</v>
      </c>
      <c r="K101" s="54">
        <v>2.38</v>
      </c>
      <c r="L101" s="55">
        <v>0</v>
      </c>
      <c r="M101" s="56">
        <v>2636.51</v>
      </c>
      <c r="N101" s="56">
        <v>0.05</v>
      </c>
      <c r="O101" s="56">
        <v>0.05</v>
      </c>
    </row>
    <row r="102" spans="1:15" x14ac:dyDescent="0.2">
      <c r="A102" s="197" t="s">
        <v>655</v>
      </c>
      <c r="B102" s="90">
        <v>821</v>
      </c>
      <c r="C102" s="48">
        <v>1900091478493</v>
      </c>
      <c r="D102" s="209" t="s">
        <v>655</v>
      </c>
      <c r="E102" s="90">
        <v>714</v>
      </c>
      <c r="F102" s="48">
        <v>1900091478509</v>
      </c>
      <c r="G102" s="209" t="s">
        <v>655</v>
      </c>
      <c r="H102" s="53">
        <v>0.20399999999999999</v>
      </c>
      <c r="I102" s="54">
        <v>17.149999999999999</v>
      </c>
      <c r="J102" s="54">
        <v>3.77</v>
      </c>
      <c r="K102" s="54">
        <v>3.77</v>
      </c>
      <c r="L102" s="55">
        <v>0</v>
      </c>
      <c r="M102" s="56">
        <v>1372.13</v>
      </c>
      <c r="N102" s="56">
        <v>0.05</v>
      </c>
      <c r="O102" s="56">
        <v>0.05</v>
      </c>
    </row>
    <row r="103" spans="1:15" x14ac:dyDescent="0.2">
      <c r="A103" s="197" t="s">
        <v>656</v>
      </c>
      <c r="B103" s="90">
        <v>829</v>
      </c>
      <c r="C103" s="48">
        <v>1900091315238</v>
      </c>
      <c r="D103" s="209" t="s">
        <v>656</v>
      </c>
      <c r="E103" s="90">
        <v>715</v>
      </c>
      <c r="F103" s="48">
        <v>1900091315229</v>
      </c>
      <c r="G103" s="209" t="s">
        <v>656</v>
      </c>
      <c r="H103" s="53">
        <v>0.56299999999999994</v>
      </c>
      <c r="I103" s="54">
        <v>3.11</v>
      </c>
      <c r="J103" s="54">
        <v>1.96</v>
      </c>
      <c r="K103" s="54">
        <v>1.96</v>
      </c>
      <c r="L103" s="55">
        <v>0</v>
      </c>
      <c r="M103" s="56">
        <v>310.77</v>
      </c>
      <c r="N103" s="56">
        <v>0.05</v>
      </c>
      <c r="O103" s="56">
        <v>0.05</v>
      </c>
    </row>
    <row r="104" spans="1:15" x14ac:dyDescent="0.2">
      <c r="A104" s="197" t="s">
        <v>657</v>
      </c>
      <c r="B104" s="90">
        <v>887</v>
      </c>
      <c r="C104" s="48">
        <v>1900070394457</v>
      </c>
      <c r="D104" s="209" t="s">
        <v>657</v>
      </c>
      <c r="E104" s="90">
        <v>731</v>
      </c>
      <c r="F104" s="48">
        <v>1900070394466</v>
      </c>
      <c r="G104" s="209" t="s">
        <v>657</v>
      </c>
      <c r="H104" s="53">
        <v>0</v>
      </c>
      <c r="I104" s="54">
        <v>724.14</v>
      </c>
      <c r="J104" s="54">
        <v>0.88</v>
      </c>
      <c r="K104" s="54">
        <v>0.88</v>
      </c>
      <c r="L104" s="55">
        <v>0</v>
      </c>
      <c r="M104" s="56">
        <v>0</v>
      </c>
      <c r="N104" s="56">
        <v>0</v>
      </c>
      <c r="O104" s="56">
        <v>0</v>
      </c>
    </row>
    <row r="105" spans="1:15" x14ac:dyDescent="0.2">
      <c r="A105" s="197" t="s">
        <v>658</v>
      </c>
      <c r="B105" s="90">
        <v>806</v>
      </c>
      <c r="C105" s="48">
        <v>1900091086531</v>
      </c>
      <c r="D105" s="209" t="s">
        <v>658</v>
      </c>
      <c r="E105" s="90">
        <v>740</v>
      </c>
      <c r="F105" s="48">
        <v>1900091086540</v>
      </c>
      <c r="G105" s="209" t="s">
        <v>658</v>
      </c>
      <c r="H105" s="53">
        <v>1.2999999999999999E-2</v>
      </c>
      <c r="I105" s="54">
        <v>12.81</v>
      </c>
      <c r="J105" s="54">
        <v>1.96</v>
      </c>
      <c r="K105" s="54">
        <v>1.96</v>
      </c>
      <c r="L105" s="55">
        <v>0</v>
      </c>
      <c r="M105" s="56">
        <v>1281.28</v>
      </c>
      <c r="N105" s="56">
        <v>0.05</v>
      </c>
      <c r="O105" s="56">
        <v>0.05</v>
      </c>
    </row>
    <row r="106" spans="1:15" x14ac:dyDescent="0.2">
      <c r="A106" s="37"/>
      <c r="B106" s="90"/>
      <c r="C106" s="48"/>
      <c r="D106" s="38"/>
      <c r="E106" s="90"/>
      <c r="F106" s="48"/>
      <c r="G106" s="49"/>
      <c r="H106" s="53"/>
      <c r="I106" s="54"/>
      <c r="J106" s="54"/>
      <c r="K106" s="54"/>
      <c r="L106" s="55"/>
      <c r="M106" s="56"/>
      <c r="N106" s="56"/>
      <c r="O106" s="56"/>
    </row>
    <row r="107" spans="1:15" x14ac:dyDescent="0.2">
      <c r="A107" s="37"/>
      <c r="B107" s="90"/>
      <c r="C107" s="48"/>
      <c r="D107" s="38"/>
      <c r="E107" s="90"/>
      <c r="F107" s="48"/>
      <c r="G107" s="49"/>
      <c r="H107" s="53"/>
      <c r="I107" s="54"/>
      <c r="J107" s="54"/>
      <c r="K107" s="54"/>
      <c r="L107" s="55"/>
      <c r="M107" s="56"/>
      <c r="N107" s="56"/>
      <c r="O107" s="56"/>
    </row>
    <row r="108" spans="1:15" x14ac:dyDescent="0.2">
      <c r="A108" s="37"/>
      <c r="B108" s="90"/>
      <c r="C108" s="48"/>
      <c r="D108" s="38"/>
      <c r="E108" s="90"/>
      <c r="F108" s="48"/>
      <c r="G108" s="49"/>
      <c r="H108" s="53"/>
      <c r="I108" s="54"/>
      <c r="J108" s="54"/>
      <c r="K108" s="54"/>
      <c r="L108" s="55"/>
      <c r="M108" s="56"/>
      <c r="N108" s="56"/>
      <c r="O108" s="56"/>
    </row>
    <row r="109" spans="1:15" x14ac:dyDescent="0.2">
      <c r="A109" s="37"/>
      <c r="B109" s="90"/>
      <c r="C109" s="48"/>
      <c r="D109" s="38"/>
      <c r="E109" s="90"/>
      <c r="F109" s="48"/>
      <c r="G109" s="49"/>
      <c r="H109" s="53"/>
      <c r="I109" s="54"/>
      <c r="J109" s="54"/>
      <c r="K109" s="54"/>
      <c r="L109" s="55"/>
      <c r="M109" s="56"/>
      <c r="N109" s="56"/>
      <c r="O109" s="56"/>
    </row>
    <row r="110" spans="1:15" x14ac:dyDescent="0.2">
      <c r="A110" s="37"/>
      <c r="B110" s="90"/>
      <c r="C110" s="48"/>
      <c r="D110" s="38"/>
      <c r="E110" s="90"/>
      <c r="F110" s="48"/>
      <c r="G110" s="49"/>
      <c r="H110" s="53"/>
      <c r="I110" s="54"/>
      <c r="J110" s="54"/>
      <c r="K110" s="54"/>
      <c r="L110" s="55"/>
      <c r="M110" s="56"/>
      <c r="N110" s="56"/>
      <c r="O110" s="56"/>
    </row>
    <row r="111" spans="1:15" x14ac:dyDescent="0.2">
      <c r="A111" s="37"/>
      <c r="B111" s="90"/>
      <c r="C111" s="48"/>
      <c r="D111" s="38"/>
      <c r="E111" s="90"/>
      <c r="F111" s="48"/>
      <c r="G111" s="49"/>
      <c r="H111" s="53"/>
      <c r="I111" s="54"/>
      <c r="J111" s="54"/>
      <c r="K111" s="54"/>
      <c r="L111" s="55"/>
      <c r="M111" s="56"/>
      <c r="N111" s="56"/>
      <c r="O111" s="56"/>
    </row>
    <row r="112" spans="1:15" x14ac:dyDescent="0.2">
      <c r="A112" s="37"/>
      <c r="B112" s="90"/>
      <c r="C112" s="48"/>
      <c r="D112" s="38"/>
      <c r="E112" s="90"/>
      <c r="F112" s="48"/>
      <c r="G112" s="49"/>
      <c r="H112" s="53"/>
      <c r="I112" s="54"/>
      <c r="J112" s="54"/>
      <c r="K112" s="54"/>
      <c r="L112" s="55"/>
      <c r="M112" s="56"/>
      <c r="N112" s="56"/>
      <c r="O112" s="56"/>
    </row>
    <row r="113" spans="1:15" x14ac:dyDescent="0.2">
      <c r="A113" s="37"/>
      <c r="B113" s="90"/>
      <c r="C113" s="48"/>
      <c r="D113" s="38"/>
      <c r="E113" s="90"/>
      <c r="F113" s="48"/>
      <c r="G113" s="49"/>
      <c r="H113" s="53"/>
      <c r="I113" s="54"/>
      <c r="J113" s="54"/>
      <c r="K113" s="54"/>
      <c r="L113" s="55"/>
      <c r="M113" s="56"/>
      <c r="N113" s="56"/>
      <c r="O113" s="56"/>
    </row>
    <row r="114" spans="1:15" x14ac:dyDescent="0.2">
      <c r="A114" s="37"/>
      <c r="B114" s="90"/>
      <c r="C114" s="48"/>
      <c r="D114" s="38"/>
      <c r="E114" s="90"/>
      <c r="F114" s="48"/>
      <c r="G114" s="49"/>
      <c r="H114" s="53"/>
      <c r="I114" s="54"/>
      <c r="J114" s="54"/>
      <c r="K114" s="54"/>
      <c r="L114" s="55"/>
      <c r="M114" s="56"/>
      <c r="N114" s="56"/>
      <c r="O114" s="56"/>
    </row>
    <row r="115" spans="1:15" x14ac:dyDescent="0.2">
      <c r="A115" s="37"/>
      <c r="B115" s="90"/>
      <c r="C115" s="48"/>
      <c r="D115" s="38"/>
      <c r="E115" s="90"/>
      <c r="F115" s="48"/>
      <c r="G115" s="49"/>
      <c r="H115" s="53"/>
      <c r="I115" s="54"/>
      <c r="J115" s="54"/>
      <c r="K115" s="54"/>
      <c r="L115" s="55"/>
      <c r="M115" s="56"/>
      <c r="N115" s="56"/>
      <c r="O115" s="56"/>
    </row>
    <row r="116" spans="1:15" x14ac:dyDescent="0.2">
      <c r="A116" s="37"/>
      <c r="B116" s="90"/>
      <c r="C116" s="48"/>
      <c r="D116" s="38"/>
      <c r="E116" s="90"/>
      <c r="F116" s="48"/>
      <c r="G116" s="49"/>
      <c r="H116" s="53"/>
      <c r="I116" s="54"/>
      <c r="J116" s="54"/>
      <c r="K116" s="54"/>
      <c r="L116" s="55"/>
      <c r="M116" s="56"/>
      <c r="N116" s="56"/>
      <c r="O116" s="56"/>
    </row>
    <row r="117" spans="1:15" x14ac:dyDescent="0.2">
      <c r="A117" s="37"/>
      <c r="B117" s="90"/>
      <c r="C117" s="48"/>
      <c r="D117" s="38"/>
      <c r="E117" s="90"/>
      <c r="F117" s="48"/>
      <c r="G117" s="49"/>
      <c r="H117" s="53"/>
      <c r="I117" s="54"/>
      <c r="J117" s="54"/>
      <c r="K117" s="54"/>
      <c r="L117" s="55"/>
      <c r="M117" s="56"/>
      <c r="N117" s="56"/>
      <c r="O117" s="56"/>
    </row>
    <row r="118" spans="1:15" x14ac:dyDescent="0.2">
      <c r="A118" s="37"/>
      <c r="B118" s="90"/>
      <c r="C118" s="48"/>
      <c r="D118" s="38"/>
      <c r="E118" s="90"/>
      <c r="F118" s="48"/>
      <c r="G118" s="49"/>
      <c r="H118" s="53"/>
      <c r="I118" s="54"/>
      <c r="J118" s="54"/>
      <c r="K118" s="54"/>
      <c r="L118" s="55"/>
      <c r="M118" s="56"/>
      <c r="N118" s="56"/>
      <c r="O118" s="56"/>
    </row>
    <row r="119" spans="1:15" x14ac:dyDescent="0.2">
      <c r="A119" s="37"/>
      <c r="B119" s="90"/>
      <c r="C119" s="48"/>
      <c r="D119" s="38"/>
      <c r="E119" s="90"/>
      <c r="F119" s="48"/>
      <c r="G119" s="49"/>
      <c r="H119" s="53"/>
      <c r="I119" s="54"/>
      <c r="J119" s="54"/>
      <c r="K119" s="54"/>
      <c r="L119" s="55"/>
      <c r="M119" s="56"/>
      <c r="N119" s="56"/>
      <c r="O119" s="56"/>
    </row>
    <row r="120" spans="1:15" x14ac:dyDescent="0.2">
      <c r="A120" s="37"/>
      <c r="B120" s="90"/>
      <c r="C120" s="48"/>
      <c r="D120" s="38"/>
      <c r="E120" s="90"/>
      <c r="F120" s="48"/>
      <c r="G120" s="49"/>
      <c r="H120" s="53"/>
      <c r="I120" s="54"/>
      <c r="J120" s="54"/>
      <c r="K120" s="54"/>
      <c r="L120" s="55"/>
      <c r="M120" s="56"/>
      <c r="N120" s="56"/>
      <c r="O120" s="56"/>
    </row>
    <row r="121" spans="1:15" x14ac:dyDescent="0.2">
      <c r="A121" s="37"/>
      <c r="B121" s="90"/>
      <c r="C121" s="48"/>
      <c r="D121" s="38"/>
      <c r="E121" s="90"/>
      <c r="F121" s="48"/>
      <c r="G121" s="49"/>
      <c r="H121" s="53"/>
      <c r="I121" s="54"/>
      <c r="J121" s="54"/>
      <c r="K121" s="54"/>
      <c r="L121" s="55"/>
      <c r="M121" s="56"/>
      <c r="N121" s="56"/>
      <c r="O121" s="56"/>
    </row>
    <row r="122" spans="1:15" x14ac:dyDescent="0.2">
      <c r="A122" s="37"/>
      <c r="B122" s="90"/>
      <c r="C122" s="48"/>
      <c r="D122" s="38"/>
      <c r="E122" s="90"/>
      <c r="F122" s="48"/>
      <c r="G122" s="49"/>
      <c r="H122" s="53"/>
      <c r="I122" s="54"/>
      <c r="J122" s="54"/>
      <c r="K122" s="54"/>
      <c r="L122" s="55"/>
      <c r="M122" s="56"/>
      <c r="N122" s="56"/>
      <c r="O122" s="56"/>
    </row>
    <row r="123" spans="1:15" x14ac:dyDescent="0.2">
      <c r="A123" s="37"/>
      <c r="B123" s="90"/>
      <c r="C123" s="48"/>
      <c r="D123" s="38"/>
      <c r="E123" s="90"/>
      <c r="F123" s="48"/>
      <c r="G123" s="49"/>
      <c r="H123" s="53"/>
      <c r="I123" s="54"/>
      <c r="J123" s="54"/>
      <c r="K123" s="54"/>
      <c r="L123" s="55"/>
      <c r="M123" s="56"/>
      <c r="N123" s="56"/>
      <c r="O123" s="56"/>
    </row>
    <row r="124" spans="1:15" x14ac:dyDescent="0.2">
      <c r="A124" s="37"/>
      <c r="B124" s="90"/>
      <c r="C124" s="48"/>
      <c r="D124" s="38"/>
      <c r="E124" s="90"/>
      <c r="F124" s="48"/>
      <c r="G124" s="49"/>
      <c r="H124" s="53"/>
      <c r="I124" s="54"/>
      <c r="J124" s="54"/>
      <c r="K124" s="54"/>
      <c r="L124" s="55"/>
      <c r="M124" s="56"/>
      <c r="N124" s="56"/>
      <c r="O124" s="56"/>
    </row>
    <row r="125" spans="1:15" x14ac:dyDescent="0.2">
      <c r="A125" s="37"/>
      <c r="B125" s="90"/>
      <c r="C125" s="48"/>
      <c r="D125" s="38"/>
      <c r="E125" s="90"/>
      <c r="F125" s="48"/>
      <c r="G125" s="49"/>
      <c r="H125" s="53"/>
      <c r="I125" s="54"/>
      <c r="J125" s="54"/>
      <c r="K125" s="54"/>
      <c r="L125" s="55"/>
      <c r="M125" s="56"/>
      <c r="N125" s="56"/>
      <c r="O125" s="56"/>
    </row>
    <row r="126" spans="1:15" x14ac:dyDescent="0.2">
      <c r="A126" s="37"/>
      <c r="B126" s="90"/>
      <c r="C126" s="48"/>
      <c r="D126" s="38"/>
      <c r="E126" s="90"/>
      <c r="F126" s="48"/>
      <c r="G126" s="49"/>
      <c r="H126" s="53"/>
      <c r="I126" s="54"/>
      <c r="J126" s="54"/>
      <c r="K126" s="54"/>
      <c r="L126" s="55"/>
      <c r="M126" s="56"/>
      <c r="N126" s="56"/>
      <c r="O126" s="56"/>
    </row>
    <row r="127" spans="1:15" x14ac:dyDescent="0.2">
      <c r="A127" s="37"/>
      <c r="B127" s="90"/>
      <c r="C127" s="48"/>
      <c r="D127" s="38"/>
      <c r="E127" s="90"/>
      <c r="F127" s="48"/>
      <c r="G127" s="49"/>
      <c r="H127" s="53"/>
      <c r="I127" s="54"/>
      <c r="J127" s="54"/>
      <c r="K127" s="54"/>
      <c r="L127" s="55"/>
      <c r="M127" s="56"/>
      <c r="N127" s="56"/>
      <c r="O127" s="56"/>
    </row>
    <row r="128" spans="1:15" x14ac:dyDescent="0.2">
      <c r="A128" s="37"/>
      <c r="B128" s="90"/>
      <c r="C128" s="48"/>
      <c r="D128" s="38"/>
      <c r="E128" s="90"/>
      <c r="F128" s="48"/>
      <c r="G128" s="49"/>
      <c r="H128" s="53"/>
      <c r="I128" s="54"/>
      <c r="J128" s="54"/>
      <c r="K128" s="54"/>
      <c r="L128" s="55"/>
      <c r="M128" s="56"/>
      <c r="N128" s="56"/>
      <c r="O128" s="56"/>
    </row>
    <row r="129" spans="1:15" x14ac:dyDescent="0.2">
      <c r="A129" s="37"/>
      <c r="B129" s="90"/>
      <c r="C129" s="48"/>
      <c r="D129" s="38"/>
      <c r="E129" s="90"/>
      <c r="F129" s="48"/>
      <c r="G129" s="49"/>
      <c r="H129" s="53"/>
      <c r="I129" s="54"/>
      <c r="J129" s="54"/>
      <c r="K129" s="54"/>
      <c r="L129" s="55"/>
      <c r="M129" s="56"/>
      <c r="N129" s="56"/>
      <c r="O129" s="56"/>
    </row>
    <row r="130" spans="1:15" x14ac:dyDescent="0.2">
      <c r="A130" s="37"/>
      <c r="B130" s="90"/>
      <c r="C130" s="48"/>
      <c r="D130" s="38"/>
      <c r="E130" s="90"/>
      <c r="F130" s="48"/>
      <c r="G130" s="49"/>
      <c r="H130" s="53"/>
      <c r="I130" s="54"/>
      <c r="J130" s="54"/>
      <c r="K130" s="54"/>
      <c r="L130" s="55"/>
      <c r="M130" s="56"/>
      <c r="N130" s="56"/>
      <c r="O130" s="56"/>
    </row>
    <row r="131" spans="1:15" x14ac:dyDescent="0.2">
      <c r="A131" s="37"/>
      <c r="B131" s="90"/>
      <c r="C131" s="48"/>
      <c r="D131" s="38"/>
      <c r="E131" s="90"/>
      <c r="F131" s="48"/>
      <c r="G131" s="49"/>
      <c r="H131" s="53"/>
      <c r="I131" s="54"/>
      <c r="J131" s="54"/>
      <c r="K131" s="54"/>
      <c r="L131" s="55"/>
      <c r="M131" s="56"/>
      <c r="N131" s="56"/>
      <c r="O131" s="56"/>
    </row>
    <row r="132" spans="1:15" x14ac:dyDescent="0.2">
      <c r="A132" s="37"/>
      <c r="B132" s="90"/>
      <c r="C132" s="48"/>
      <c r="D132" s="38"/>
      <c r="E132" s="90"/>
      <c r="F132" s="48"/>
      <c r="G132" s="49"/>
      <c r="H132" s="53"/>
      <c r="I132" s="54"/>
      <c r="J132" s="54"/>
      <c r="K132" s="54"/>
      <c r="L132" s="55"/>
      <c r="M132" s="56"/>
      <c r="N132" s="56"/>
      <c r="O132" s="56"/>
    </row>
    <row r="133" spans="1:15" x14ac:dyDescent="0.2">
      <c r="A133" s="37"/>
      <c r="B133" s="90"/>
      <c r="C133" s="48"/>
      <c r="D133" s="38"/>
      <c r="E133" s="90"/>
      <c r="F133" s="48"/>
      <c r="G133" s="49"/>
      <c r="H133" s="53"/>
      <c r="I133" s="54"/>
      <c r="J133" s="54"/>
      <c r="K133" s="54"/>
      <c r="L133" s="55"/>
      <c r="M133" s="56"/>
      <c r="N133" s="56"/>
      <c r="O133" s="56"/>
    </row>
    <row r="134" spans="1:15" x14ac:dyDescent="0.2">
      <c r="A134" s="37"/>
      <c r="B134" s="90"/>
      <c r="C134" s="48"/>
      <c r="D134" s="38"/>
      <c r="E134" s="90"/>
      <c r="F134" s="48"/>
      <c r="G134" s="49"/>
      <c r="H134" s="53"/>
      <c r="I134" s="54"/>
      <c r="J134" s="54"/>
      <c r="K134" s="54"/>
      <c r="L134" s="55"/>
      <c r="M134" s="56"/>
      <c r="N134" s="56"/>
      <c r="O134" s="56"/>
    </row>
    <row r="135" spans="1:15" x14ac:dyDescent="0.2">
      <c r="A135" s="37"/>
      <c r="B135" s="90"/>
      <c r="C135" s="48"/>
      <c r="D135" s="38"/>
      <c r="E135" s="90"/>
      <c r="F135" s="48"/>
      <c r="G135" s="49"/>
      <c r="H135" s="53"/>
      <c r="I135" s="54"/>
      <c r="J135" s="54"/>
      <c r="K135" s="54"/>
      <c r="L135" s="55"/>
      <c r="M135" s="56"/>
      <c r="N135" s="56"/>
      <c r="O135" s="56"/>
    </row>
    <row r="136" spans="1:15" x14ac:dyDescent="0.2">
      <c r="A136" s="37"/>
      <c r="B136" s="90"/>
      <c r="C136" s="48"/>
      <c r="D136" s="38"/>
      <c r="E136" s="90"/>
      <c r="F136" s="48"/>
      <c r="G136" s="49"/>
      <c r="H136" s="53"/>
      <c r="I136" s="54"/>
      <c r="J136" s="54"/>
      <c r="K136" s="54"/>
      <c r="L136" s="55"/>
      <c r="M136" s="56"/>
      <c r="N136" s="56"/>
      <c r="O136" s="56"/>
    </row>
    <row r="137" spans="1:15" x14ac:dyDescent="0.2">
      <c r="A137" s="37"/>
      <c r="B137" s="90"/>
      <c r="C137" s="48"/>
      <c r="D137" s="38"/>
      <c r="E137" s="90"/>
      <c r="F137" s="48"/>
      <c r="G137" s="49"/>
      <c r="H137" s="53"/>
      <c r="I137" s="54"/>
      <c r="J137" s="54"/>
      <c r="K137" s="54"/>
      <c r="L137" s="55"/>
      <c r="M137" s="56"/>
      <c r="N137" s="56"/>
      <c r="O137" s="56"/>
    </row>
    <row r="138" spans="1:15" x14ac:dyDescent="0.2">
      <c r="A138" s="37"/>
      <c r="B138" s="90"/>
      <c r="C138" s="48"/>
      <c r="D138" s="38"/>
      <c r="E138" s="90"/>
      <c r="F138" s="48"/>
      <c r="G138" s="49"/>
      <c r="H138" s="53"/>
      <c r="I138" s="54"/>
      <c r="J138" s="54"/>
      <c r="K138" s="54"/>
      <c r="L138" s="55"/>
      <c r="M138" s="56"/>
      <c r="N138" s="56"/>
      <c r="O138" s="56"/>
    </row>
    <row r="139" spans="1:15" x14ac:dyDescent="0.2">
      <c r="A139" s="37"/>
      <c r="B139" s="90"/>
      <c r="C139" s="48"/>
      <c r="D139" s="38"/>
      <c r="E139" s="90"/>
      <c r="F139" s="48"/>
      <c r="G139" s="49"/>
      <c r="H139" s="53"/>
      <c r="I139" s="54"/>
      <c r="J139" s="54"/>
      <c r="K139" s="54"/>
      <c r="L139" s="55"/>
      <c r="M139" s="56"/>
      <c r="N139" s="56"/>
      <c r="O139" s="56"/>
    </row>
    <row r="140" spans="1:15" x14ac:dyDescent="0.2">
      <c r="A140" s="37"/>
      <c r="B140" s="90"/>
      <c r="C140" s="48"/>
      <c r="D140" s="38"/>
      <c r="E140" s="90"/>
      <c r="F140" s="48"/>
      <c r="G140" s="49"/>
      <c r="H140" s="53"/>
      <c r="I140" s="54"/>
      <c r="J140" s="54"/>
      <c r="K140" s="54"/>
      <c r="L140" s="55"/>
      <c r="M140" s="56"/>
      <c r="N140" s="56"/>
      <c r="O140" s="56"/>
    </row>
    <row r="141" spans="1:15" x14ac:dyDescent="0.2">
      <c r="A141" s="37"/>
      <c r="B141" s="90"/>
      <c r="C141" s="48"/>
      <c r="D141" s="38"/>
      <c r="E141" s="90"/>
      <c r="F141" s="48"/>
      <c r="G141" s="49"/>
      <c r="H141" s="53"/>
      <c r="I141" s="54"/>
      <c r="J141" s="54"/>
      <c r="K141" s="54"/>
      <c r="L141" s="55"/>
      <c r="M141" s="56"/>
      <c r="N141" s="56"/>
      <c r="O141" s="56"/>
    </row>
    <row r="142" spans="1:15" x14ac:dyDescent="0.2">
      <c r="A142" s="37"/>
      <c r="B142" s="90"/>
      <c r="C142" s="48"/>
      <c r="D142" s="38"/>
      <c r="E142" s="90"/>
      <c r="F142" s="48"/>
      <c r="G142" s="49"/>
      <c r="H142" s="53"/>
      <c r="I142" s="54"/>
      <c r="J142" s="54"/>
      <c r="K142" s="54"/>
      <c r="L142" s="55"/>
      <c r="M142" s="56"/>
      <c r="N142" s="56"/>
      <c r="O142" s="56"/>
    </row>
    <row r="143" spans="1:15" x14ac:dyDescent="0.2">
      <c r="A143" s="37"/>
      <c r="B143" s="90"/>
      <c r="C143" s="48"/>
      <c r="D143" s="38"/>
      <c r="E143" s="90"/>
      <c r="F143" s="48"/>
      <c r="G143" s="49"/>
      <c r="H143" s="53"/>
      <c r="I143" s="54"/>
      <c r="J143" s="54"/>
      <c r="K143" s="54"/>
      <c r="L143" s="55"/>
      <c r="M143" s="56"/>
      <c r="N143" s="56"/>
      <c r="O143" s="56"/>
    </row>
    <row r="144" spans="1:15" x14ac:dyDescent="0.2">
      <c r="A144" s="37"/>
      <c r="B144" s="90"/>
      <c r="C144" s="48"/>
      <c r="D144" s="38"/>
      <c r="E144" s="90"/>
      <c r="F144" s="48"/>
      <c r="G144" s="49"/>
      <c r="H144" s="53"/>
      <c r="I144" s="54"/>
      <c r="J144" s="54"/>
      <c r="K144" s="54"/>
      <c r="L144" s="55"/>
      <c r="M144" s="56"/>
      <c r="N144" s="56"/>
      <c r="O144" s="56"/>
    </row>
    <row r="145" spans="1:15" x14ac:dyDescent="0.2">
      <c r="A145" s="37"/>
      <c r="B145" s="90"/>
      <c r="C145" s="48"/>
      <c r="D145" s="38"/>
      <c r="E145" s="90"/>
      <c r="F145" s="48"/>
      <c r="G145" s="49"/>
      <c r="H145" s="53"/>
      <c r="I145" s="54"/>
      <c r="J145" s="54"/>
      <c r="K145" s="54"/>
      <c r="L145" s="55"/>
      <c r="M145" s="56"/>
      <c r="N145" s="56"/>
      <c r="O145" s="56"/>
    </row>
    <row r="146" spans="1:15" x14ac:dyDescent="0.2">
      <c r="A146" s="37"/>
      <c r="B146" s="90"/>
      <c r="C146" s="48"/>
      <c r="D146" s="38"/>
      <c r="E146" s="90"/>
      <c r="F146" s="48"/>
      <c r="G146" s="49"/>
      <c r="H146" s="53"/>
      <c r="I146" s="54"/>
      <c r="J146" s="54"/>
      <c r="K146" s="54"/>
      <c r="L146" s="55"/>
      <c r="M146" s="56"/>
      <c r="N146" s="56"/>
      <c r="O146" s="56"/>
    </row>
    <row r="147" spans="1:15" x14ac:dyDescent="0.2">
      <c r="A147" s="37"/>
      <c r="B147" s="90"/>
      <c r="C147" s="48"/>
      <c r="D147" s="38"/>
      <c r="E147" s="90"/>
      <c r="F147" s="48"/>
      <c r="G147" s="49"/>
      <c r="H147" s="53"/>
      <c r="I147" s="54"/>
      <c r="J147" s="54"/>
      <c r="K147" s="54"/>
      <c r="L147" s="55"/>
      <c r="M147" s="56"/>
      <c r="N147" s="56"/>
      <c r="O147" s="56"/>
    </row>
    <row r="148" spans="1:15" x14ac:dyDescent="0.2">
      <c r="A148" s="37"/>
      <c r="B148" s="90"/>
      <c r="C148" s="48"/>
      <c r="D148" s="38"/>
      <c r="E148" s="90"/>
      <c r="F148" s="48"/>
      <c r="G148" s="49"/>
      <c r="H148" s="53"/>
      <c r="I148" s="54"/>
      <c r="J148" s="54"/>
      <c r="K148" s="54"/>
      <c r="L148" s="55"/>
      <c r="M148" s="56"/>
      <c r="N148" s="56"/>
      <c r="O148" s="56"/>
    </row>
    <row r="149" spans="1:15" x14ac:dyDescent="0.2">
      <c r="A149" s="37"/>
      <c r="B149" s="90"/>
      <c r="C149" s="48"/>
      <c r="D149" s="38"/>
      <c r="E149" s="90"/>
      <c r="F149" s="48"/>
      <c r="G149" s="49"/>
      <c r="H149" s="53"/>
      <c r="I149" s="54"/>
      <c r="J149" s="54"/>
      <c r="K149" s="54"/>
      <c r="L149" s="55"/>
      <c r="M149" s="56"/>
      <c r="N149" s="56"/>
      <c r="O149" s="56"/>
    </row>
    <row r="150" spans="1:15" x14ac:dyDescent="0.2">
      <c r="A150" s="37"/>
      <c r="B150" s="90"/>
      <c r="C150" s="48"/>
      <c r="D150" s="38"/>
      <c r="E150" s="90"/>
      <c r="F150" s="48"/>
      <c r="G150" s="49"/>
      <c r="H150" s="53"/>
      <c r="I150" s="54"/>
      <c r="J150" s="54"/>
      <c r="K150" s="54"/>
      <c r="L150" s="55"/>
      <c r="M150" s="56"/>
      <c r="N150" s="56"/>
      <c r="O150" s="56"/>
    </row>
    <row r="151" spans="1:15" x14ac:dyDescent="0.2">
      <c r="A151" s="37"/>
      <c r="B151" s="90"/>
      <c r="C151" s="48"/>
      <c r="D151" s="38"/>
      <c r="E151" s="90"/>
      <c r="F151" s="48"/>
      <c r="G151" s="49"/>
      <c r="H151" s="53"/>
      <c r="I151" s="54"/>
      <c r="J151" s="54"/>
      <c r="K151" s="54"/>
      <c r="L151" s="55"/>
      <c r="M151" s="56"/>
      <c r="N151" s="56"/>
      <c r="O151" s="56"/>
    </row>
    <row r="152" spans="1:15" x14ac:dyDescent="0.2">
      <c r="A152" s="37"/>
      <c r="B152" s="90"/>
      <c r="C152" s="48"/>
      <c r="D152" s="38"/>
      <c r="E152" s="90"/>
      <c r="F152" s="48"/>
      <c r="G152" s="49"/>
      <c r="H152" s="53"/>
      <c r="I152" s="54"/>
      <c r="J152" s="54"/>
      <c r="K152" s="54"/>
      <c r="L152" s="55"/>
      <c r="M152" s="56"/>
      <c r="N152" s="56"/>
      <c r="O152" s="56"/>
    </row>
    <row r="153" spans="1:15" x14ac:dyDescent="0.2">
      <c r="A153" s="37"/>
      <c r="B153" s="90"/>
      <c r="C153" s="48"/>
      <c r="D153" s="38"/>
      <c r="E153" s="90"/>
      <c r="F153" s="48"/>
      <c r="G153" s="49"/>
      <c r="H153" s="53"/>
      <c r="I153" s="54"/>
      <c r="J153" s="54"/>
      <c r="K153" s="54"/>
      <c r="L153" s="55"/>
      <c r="M153" s="56"/>
      <c r="N153" s="56"/>
      <c r="O153" s="56"/>
    </row>
    <row r="154" spans="1:15" x14ac:dyDescent="0.2">
      <c r="A154" s="37"/>
      <c r="B154" s="90"/>
      <c r="C154" s="48"/>
      <c r="D154" s="38"/>
      <c r="E154" s="90"/>
      <c r="F154" s="48"/>
      <c r="G154" s="49"/>
      <c r="H154" s="53"/>
      <c r="I154" s="54"/>
      <c r="J154" s="54"/>
      <c r="K154" s="54"/>
      <c r="L154" s="55"/>
      <c r="M154" s="56"/>
      <c r="N154" s="56"/>
      <c r="O154" s="56"/>
    </row>
    <row r="155" spans="1:15" x14ac:dyDescent="0.2">
      <c r="A155" s="37"/>
      <c r="B155" s="90"/>
      <c r="C155" s="48"/>
      <c r="D155" s="38"/>
      <c r="E155" s="90"/>
      <c r="F155" s="48"/>
      <c r="G155" s="49"/>
      <c r="H155" s="53"/>
      <c r="I155" s="54"/>
      <c r="J155" s="54"/>
      <c r="K155" s="54"/>
      <c r="L155" s="55"/>
      <c r="M155" s="56"/>
      <c r="N155" s="56"/>
      <c r="O155" s="56"/>
    </row>
    <row r="156" spans="1:15" x14ac:dyDescent="0.2">
      <c r="A156" s="37"/>
      <c r="B156" s="90"/>
      <c r="C156" s="48"/>
      <c r="D156" s="38"/>
      <c r="E156" s="90"/>
      <c r="F156" s="48"/>
      <c r="G156" s="49"/>
      <c r="H156" s="53"/>
      <c r="I156" s="54"/>
      <c r="J156" s="54"/>
      <c r="K156" s="54"/>
      <c r="L156" s="55"/>
      <c r="M156" s="56"/>
      <c r="N156" s="56"/>
      <c r="O156" s="56"/>
    </row>
    <row r="157" spans="1:15" x14ac:dyDescent="0.2">
      <c r="A157" s="37"/>
      <c r="B157" s="90"/>
      <c r="C157" s="48"/>
      <c r="D157" s="38"/>
      <c r="E157" s="90"/>
      <c r="F157" s="48"/>
      <c r="G157" s="49"/>
      <c r="H157" s="53"/>
      <c r="I157" s="54"/>
      <c r="J157" s="54"/>
      <c r="K157" s="54"/>
      <c r="L157" s="55"/>
      <c r="M157" s="56"/>
      <c r="N157" s="56"/>
      <c r="O157" s="56"/>
    </row>
    <row r="158" spans="1:15" x14ac:dyDescent="0.2">
      <c r="A158" s="37"/>
      <c r="B158" s="90"/>
      <c r="C158" s="48"/>
      <c r="D158" s="38"/>
      <c r="E158" s="90"/>
      <c r="F158" s="48"/>
      <c r="G158" s="49"/>
      <c r="H158" s="53"/>
      <c r="I158" s="54"/>
      <c r="J158" s="54"/>
      <c r="K158" s="54"/>
      <c r="L158" s="55"/>
      <c r="M158" s="56"/>
      <c r="N158" s="56"/>
      <c r="O158" s="56"/>
    </row>
    <row r="159" spans="1:15" x14ac:dyDescent="0.2">
      <c r="A159" s="37"/>
      <c r="B159" s="90"/>
      <c r="C159" s="48"/>
      <c r="D159" s="38"/>
      <c r="E159" s="90"/>
      <c r="F159" s="48"/>
      <c r="G159" s="49"/>
      <c r="H159" s="53"/>
      <c r="I159" s="54"/>
      <c r="J159" s="54"/>
      <c r="K159" s="54"/>
      <c r="L159" s="55"/>
      <c r="M159" s="56"/>
      <c r="N159" s="56"/>
      <c r="O159" s="56"/>
    </row>
    <row r="160" spans="1:15" x14ac:dyDescent="0.2">
      <c r="A160" s="37"/>
      <c r="B160" s="90"/>
      <c r="C160" s="48"/>
      <c r="D160" s="38"/>
      <c r="E160" s="90"/>
      <c r="F160" s="48"/>
      <c r="G160" s="49"/>
      <c r="H160" s="53"/>
      <c r="I160" s="54"/>
      <c r="J160" s="54"/>
      <c r="K160" s="54"/>
      <c r="L160" s="55"/>
      <c r="M160" s="56"/>
      <c r="N160" s="56"/>
      <c r="O160" s="56"/>
    </row>
    <row r="161" spans="1:15" x14ac:dyDescent="0.2">
      <c r="A161" s="37"/>
      <c r="B161" s="90"/>
      <c r="C161" s="48"/>
      <c r="D161" s="38"/>
      <c r="E161" s="90"/>
      <c r="F161" s="48"/>
      <c r="G161" s="49"/>
      <c r="H161" s="53"/>
      <c r="I161" s="54"/>
      <c r="J161" s="54"/>
      <c r="K161" s="54"/>
      <c r="L161" s="55"/>
      <c r="M161" s="56"/>
      <c r="N161" s="56"/>
      <c r="O161" s="56"/>
    </row>
    <row r="162" spans="1:15" x14ac:dyDescent="0.2">
      <c r="A162" s="37"/>
      <c r="B162" s="90"/>
      <c r="C162" s="48"/>
      <c r="D162" s="38"/>
      <c r="E162" s="90"/>
      <c r="F162" s="48"/>
      <c r="G162" s="49"/>
      <c r="H162" s="53"/>
      <c r="I162" s="54"/>
      <c r="J162" s="54"/>
      <c r="K162" s="54"/>
      <c r="L162" s="55"/>
      <c r="M162" s="56"/>
      <c r="N162" s="56"/>
      <c r="O162" s="56"/>
    </row>
    <row r="163" spans="1:15" x14ac:dyDescent="0.2">
      <c r="A163" s="37"/>
      <c r="B163" s="90"/>
      <c r="C163" s="48"/>
      <c r="D163" s="38"/>
      <c r="E163" s="90"/>
      <c r="F163" s="48"/>
      <c r="G163" s="49"/>
      <c r="H163" s="53"/>
      <c r="I163" s="54"/>
      <c r="J163" s="54"/>
      <c r="K163" s="54"/>
      <c r="L163" s="55"/>
      <c r="M163" s="56"/>
      <c r="N163" s="56"/>
      <c r="O163" s="56"/>
    </row>
    <row r="164" spans="1:15" x14ac:dyDescent="0.2">
      <c r="A164" s="37"/>
      <c r="B164" s="90"/>
      <c r="C164" s="48"/>
      <c r="D164" s="38"/>
      <c r="E164" s="90"/>
      <c r="F164" s="48"/>
      <c r="G164" s="49"/>
      <c r="H164" s="53"/>
      <c r="I164" s="54"/>
      <c r="J164" s="54"/>
      <c r="K164" s="54"/>
      <c r="L164" s="55"/>
      <c r="M164" s="56"/>
      <c r="N164" s="56"/>
      <c r="O164" s="56"/>
    </row>
    <row r="165" spans="1:15" x14ac:dyDescent="0.2">
      <c r="A165" s="37"/>
      <c r="B165" s="90"/>
      <c r="C165" s="48"/>
      <c r="D165" s="38"/>
      <c r="E165" s="90"/>
      <c r="F165" s="48"/>
      <c r="G165" s="49"/>
      <c r="H165" s="53"/>
      <c r="I165" s="54"/>
      <c r="J165" s="54"/>
      <c r="K165" s="54"/>
      <c r="L165" s="55"/>
      <c r="M165" s="56"/>
      <c r="N165" s="56"/>
      <c r="O165" s="56"/>
    </row>
    <row r="166" spans="1:15" x14ac:dyDescent="0.2">
      <c r="A166" s="37"/>
      <c r="B166" s="90"/>
      <c r="C166" s="48"/>
      <c r="D166" s="38"/>
      <c r="E166" s="90"/>
      <c r="F166" s="48"/>
      <c r="G166" s="49"/>
      <c r="H166" s="53"/>
      <c r="I166" s="54"/>
      <c r="J166" s="54"/>
      <c r="K166" s="54"/>
      <c r="L166" s="55"/>
      <c r="M166" s="56"/>
      <c r="N166" s="56"/>
      <c r="O166" s="56"/>
    </row>
    <row r="167" spans="1:15" x14ac:dyDescent="0.2">
      <c r="A167" s="37"/>
      <c r="B167" s="90"/>
      <c r="C167" s="48"/>
      <c r="D167" s="38"/>
      <c r="E167" s="90"/>
      <c r="F167" s="48"/>
      <c r="G167" s="49"/>
      <c r="H167" s="53"/>
      <c r="I167" s="54"/>
      <c r="J167" s="54"/>
      <c r="K167" s="54"/>
      <c r="L167" s="55"/>
      <c r="M167" s="56"/>
      <c r="N167" s="56"/>
      <c r="O167" s="56"/>
    </row>
    <row r="168" spans="1:15" x14ac:dyDescent="0.2">
      <c r="A168" s="37"/>
      <c r="B168" s="90"/>
      <c r="C168" s="48"/>
      <c r="D168" s="38"/>
      <c r="E168" s="90"/>
      <c r="F168" s="48"/>
      <c r="G168" s="49"/>
      <c r="H168" s="53"/>
      <c r="I168" s="54"/>
      <c r="J168" s="54"/>
      <c r="K168" s="54"/>
      <c r="L168" s="55"/>
      <c r="M168" s="56"/>
      <c r="N168" s="56"/>
      <c r="O168" s="56"/>
    </row>
    <row r="169" spans="1:15" x14ac:dyDescent="0.2">
      <c r="A169" s="37"/>
      <c r="B169" s="90"/>
      <c r="C169" s="48"/>
      <c r="D169" s="38"/>
      <c r="E169" s="90"/>
      <c r="F169" s="48"/>
      <c r="G169" s="49"/>
      <c r="H169" s="53"/>
      <c r="I169" s="54"/>
      <c r="J169" s="54"/>
      <c r="K169" s="54"/>
      <c r="L169" s="55"/>
      <c r="M169" s="56"/>
      <c r="N169" s="56"/>
      <c r="O169" s="56"/>
    </row>
    <row r="170" spans="1:15" x14ac:dyDescent="0.2">
      <c r="A170" s="37"/>
      <c r="B170" s="90"/>
      <c r="C170" s="48"/>
      <c r="D170" s="38"/>
      <c r="E170" s="90"/>
      <c r="F170" s="48"/>
      <c r="G170" s="49"/>
      <c r="H170" s="53"/>
      <c r="I170" s="54"/>
      <c r="J170" s="54"/>
      <c r="K170" s="54"/>
      <c r="L170" s="55"/>
      <c r="M170" s="56"/>
      <c r="N170" s="56"/>
      <c r="O170" s="56"/>
    </row>
    <row r="171" spans="1:15" x14ac:dyDescent="0.2">
      <c r="A171" s="37"/>
      <c r="B171" s="90"/>
      <c r="C171" s="48"/>
      <c r="D171" s="38"/>
      <c r="E171" s="90"/>
      <c r="F171" s="48"/>
      <c r="G171" s="49"/>
      <c r="H171" s="53"/>
      <c r="I171" s="54"/>
      <c r="J171" s="54"/>
      <c r="K171" s="54"/>
      <c r="L171" s="55"/>
      <c r="M171" s="56"/>
      <c r="N171" s="56"/>
      <c r="O171" s="56"/>
    </row>
    <row r="172" spans="1:15" x14ac:dyDescent="0.2">
      <c r="A172" s="37"/>
      <c r="B172" s="90"/>
      <c r="C172" s="48"/>
      <c r="D172" s="38"/>
      <c r="E172" s="90"/>
      <c r="F172" s="48"/>
      <c r="G172" s="49"/>
      <c r="H172" s="53"/>
      <c r="I172" s="54"/>
      <c r="J172" s="54"/>
      <c r="K172" s="54"/>
      <c r="L172" s="55"/>
      <c r="M172" s="56"/>
      <c r="N172" s="56"/>
      <c r="O172" s="56"/>
    </row>
    <row r="173" spans="1:15" x14ac:dyDescent="0.2">
      <c r="A173" s="37"/>
      <c r="B173" s="90"/>
      <c r="C173" s="48"/>
      <c r="D173" s="38"/>
      <c r="E173" s="90"/>
      <c r="F173" s="48"/>
      <c r="G173" s="49"/>
      <c r="H173" s="53"/>
      <c r="I173" s="54"/>
      <c r="J173" s="54"/>
      <c r="K173" s="54"/>
      <c r="L173" s="55"/>
      <c r="M173" s="56"/>
      <c r="N173" s="56"/>
      <c r="O173" s="56"/>
    </row>
    <row r="174" spans="1:15" x14ac:dyDescent="0.2">
      <c r="A174" s="37"/>
      <c r="B174" s="90"/>
      <c r="C174" s="48"/>
      <c r="D174" s="38"/>
      <c r="E174" s="90"/>
      <c r="F174" s="48"/>
      <c r="G174" s="49"/>
      <c r="H174" s="53"/>
      <c r="I174" s="54"/>
      <c r="J174" s="54"/>
      <c r="K174" s="54"/>
      <c r="L174" s="55"/>
      <c r="M174" s="56"/>
      <c r="N174" s="56"/>
      <c r="O174" s="56"/>
    </row>
    <row r="175" spans="1:15" x14ac:dyDescent="0.2">
      <c r="A175" s="37"/>
      <c r="B175" s="90"/>
      <c r="C175" s="48"/>
      <c r="D175" s="38"/>
      <c r="E175" s="90"/>
      <c r="F175" s="48"/>
      <c r="G175" s="49"/>
      <c r="H175" s="53"/>
      <c r="I175" s="54"/>
      <c r="J175" s="54"/>
      <c r="K175" s="54"/>
      <c r="L175" s="55"/>
      <c r="M175" s="56"/>
      <c r="N175" s="56"/>
      <c r="O175" s="56"/>
    </row>
    <row r="176" spans="1:15" x14ac:dyDescent="0.2">
      <c r="A176" s="37"/>
      <c r="B176" s="90"/>
      <c r="C176" s="48"/>
      <c r="D176" s="38"/>
      <c r="E176" s="90"/>
      <c r="F176" s="48"/>
      <c r="G176" s="49"/>
      <c r="H176" s="53"/>
      <c r="I176" s="54"/>
      <c r="J176" s="54"/>
      <c r="K176" s="54"/>
      <c r="L176" s="55"/>
      <c r="M176" s="56"/>
      <c r="N176" s="56"/>
      <c r="O176" s="56"/>
    </row>
    <row r="177" spans="1:15" x14ac:dyDescent="0.2">
      <c r="A177" s="37"/>
      <c r="B177" s="90"/>
      <c r="C177" s="48"/>
      <c r="D177" s="38"/>
      <c r="E177" s="90"/>
      <c r="F177" s="48"/>
      <c r="G177" s="49"/>
      <c r="H177" s="53"/>
      <c r="I177" s="54"/>
      <c r="J177" s="54"/>
      <c r="K177" s="54"/>
      <c r="L177" s="55"/>
      <c r="M177" s="56"/>
      <c r="N177" s="56"/>
      <c r="O177" s="56"/>
    </row>
    <row r="178" spans="1:15" x14ac:dyDescent="0.2">
      <c r="A178" s="37"/>
      <c r="B178" s="90"/>
      <c r="C178" s="48"/>
      <c r="D178" s="38"/>
      <c r="E178" s="90"/>
      <c r="F178" s="48"/>
      <c r="G178" s="49"/>
      <c r="H178" s="53"/>
      <c r="I178" s="54"/>
      <c r="J178" s="54"/>
      <c r="K178" s="54"/>
      <c r="L178" s="55"/>
      <c r="M178" s="56"/>
      <c r="N178" s="56"/>
      <c r="O178" s="56"/>
    </row>
    <row r="179" spans="1:15" x14ac:dyDescent="0.2">
      <c r="A179" s="37"/>
      <c r="B179" s="90"/>
      <c r="C179" s="48"/>
      <c r="D179" s="38"/>
      <c r="E179" s="90"/>
      <c r="F179" s="48"/>
      <c r="G179" s="49"/>
      <c r="H179" s="53"/>
      <c r="I179" s="54"/>
      <c r="J179" s="54"/>
      <c r="K179" s="54"/>
      <c r="L179" s="55"/>
      <c r="M179" s="56"/>
      <c r="N179" s="56"/>
      <c r="O179" s="56"/>
    </row>
    <row r="180" spans="1:15" x14ac:dyDescent="0.2">
      <c r="A180" s="37"/>
      <c r="B180" s="90"/>
      <c r="C180" s="48"/>
      <c r="D180" s="38"/>
      <c r="E180" s="90"/>
      <c r="F180" s="48"/>
      <c r="G180" s="49"/>
      <c r="H180" s="53"/>
      <c r="I180" s="54"/>
      <c r="J180" s="54"/>
      <c r="K180" s="54"/>
      <c r="L180" s="55"/>
      <c r="M180" s="56"/>
      <c r="N180" s="56"/>
      <c r="O180" s="56"/>
    </row>
    <row r="181" spans="1:15" x14ac:dyDescent="0.2">
      <c r="A181" s="37"/>
      <c r="B181" s="90"/>
      <c r="C181" s="48"/>
      <c r="D181" s="38"/>
      <c r="E181" s="90"/>
      <c r="F181" s="48"/>
      <c r="G181" s="49"/>
      <c r="H181" s="53"/>
      <c r="I181" s="54"/>
      <c r="J181" s="54"/>
      <c r="K181" s="54"/>
      <c r="L181" s="55"/>
      <c r="M181" s="56"/>
      <c r="N181" s="56"/>
      <c r="O181" s="56"/>
    </row>
    <row r="182" spans="1:15" x14ac:dyDescent="0.2">
      <c r="A182" s="37"/>
      <c r="B182" s="90"/>
      <c r="C182" s="48"/>
      <c r="D182" s="38"/>
      <c r="E182" s="90"/>
      <c r="F182" s="48"/>
      <c r="G182" s="49"/>
      <c r="H182" s="53"/>
      <c r="I182" s="54"/>
      <c r="J182" s="54"/>
      <c r="K182" s="54"/>
      <c r="L182" s="55"/>
      <c r="M182" s="56"/>
      <c r="N182" s="56"/>
      <c r="O182" s="56"/>
    </row>
    <row r="183" spans="1:15" x14ac:dyDescent="0.2">
      <c r="A183" s="37"/>
      <c r="B183" s="90"/>
      <c r="C183" s="48"/>
      <c r="D183" s="38"/>
      <c r="E183" s="90"/>
      <c r="F183" s="48"/>
      <c r="G183" s="49"/>
      <c r="H183" s="53"/>
      <c r="I183" s="54"/>
      <c r="J183" s="54"/>
      <c r="K183" s="54"/>
      <c r="L183" s="55"/>
      <c r="M183" s="56"/>
      <c r="N183" s="56"/>
      <c r="O183" s="56"/>
    </row>
    <row r="184" spans="1:15" x14ac:dyDescent="0.2">
      <c r="A184" s="37"/>
      <c r="B184" s="90"/>
      <c r="C184" s="48"/>
      <c r="D184" s="38"/>
      <c r="E184" s="90"/>
      <c r="F184" s="48"/>
      <c r="G184" s="49"/>
      <c r="H184" s="53"/>
      <c r="I184" s="54"/>
      <c r="J184" s="54"/>
      <c r="K184" s="54"/>
      <c r="L184" s="55"/>
      <c r="M184" s="56"/>
      <c r="N184" s="56"/>
      <c r="O184" s="56"/>
    </row>
    <row r="185" spans="1:15" x14ac:dyDescent="0.2">
      <c r="A185" s="37"/>
      <c r="B185" s="90"/>
      <c r="C185" s="48"/>
      <c r="D185" s="38"/>
      <c r="E185" s="90"/>
      <c r="F185" s="48"/>
      <c r="G185" s="49"/>
      <c r="H185" s="53"/>
      <c r="I185" s="54"/>
      <c r="J185" s="54"/>
      <c r="K185" s="54"/>
      <c r="L185" s="55"/>
      <c r="M185" s="56"/>
      <c r="N185" s="56"/>
      <c r="O185" s="56"/>
    </row>
    <row r="186" spans="1:15" x14ac:dyDescent="0.2">
      <c r="A186" s="37"/>
      <c r="B186" s="90"/>
      <c r="C186" s="48"/>
      <c r="D186" s="38"/>
      <c r="E186" s="90"/>
      <c r="F186" s="48"/>
      <c r="G186" s="49"/>
      <c r="H186" s="53"/>
      <c r="I186" s="54"/>
      <c r="J186" s="54"/>
      <c r="K186" s="54"/>
      <c r="L186" s="55"/>
      <c r="M186" s="56"/>
      <c r="N186" s="56"/>
      <c r="O186" s="56"/>
    </row>
    <row r="187" spans="1:15" x14ac:dyDescent="0.2">
      <c r="A187" s="37"/>
      <c r="B187" s="90"/>
      <c r="C187" s="48"/>
      <c r="D187" s="38"/>
      <c r="E187" s="90"/>
      <c r="F187" s="48"/>
      <c r="G187" s="49"/>
      <c r="H187" s="53"/>
      <c r="I187" s="54"/>
      <c r="J187" s="54"/>
      <c r="K187" s="54"/>
      <c r="L187" s="55"/>
      <c r="M187" s="56"/>
      <c r="N187" s="56"/>
      <c r="O187" s="56"/>
    </row>
    <row r="188" spans="1:15" x14ac:dyDescent="0.2">
      <c r="A188" s="37"/>
      <c r="B188" s="90"/>
      <c r="C188" s="48"/>
      <c r="D188" s="38"/>
      <c r="E188" s="90"/>
      <c r="F188" s="48"/>
      <c r="G188" s="49"/>
      <c r="H188" s="53"/>
      <c r="I188" s="54"/>
      <c r="J188" s="54"/>
      <c r="K188" s="54"/>
      <c r="L188" s="55"/>
      <c r="M188" s="56"/>
      <c r="N188" s="56"/>
      <c r="O188" s="56"/>
    </row>
    <row r="189" spans="1:15" x14ac:dyDescent="0.2">
      <c r="A189" s="37"/>
      <c r="B189" s="90"/>
      <c r="C189" s="48"/>
      <c r="D189" s="38"/>
      <c r="E189" s="90"/>
      <c r="F189" s="48"/>
      <c r="G189" s="49"/>
      <c r="H189" s="53"/>
      <c r="I189" s="54"/>
      <c r="J189" s="54"/>
      <c r="K189" s="54"/>
      <c r="L189" s="55"/>
      <c r="M189" s="56"/>
      <c r="N189" s="56"/>
      <c r="O189" s="56"/>
    </row>
    <row r="190" spans="1:15" x14ac:dyDescent="0.2">
      <c r="A190" s="37"/>
      <c r="B190" s="90"/>
      <c r="C190" s="48"/>
      <c r="D190" s="38"/>
      <c r="E190" s="90"/>
      <c r="F190" s="48"/>
      <c r="G190" s="49"/>
      <c r="H190" s="53"/>
      <c r="I190" s="54"/>
      <c r="J190" s="54"/>
      <c r="K190" s="54"/>
      <c r="L190" s="55"/>
      <c r="M190" s="56"/>
      <c r="N190" s="56"/>
      <c r="O190" s="56"/>
    </row>
    <row r="191" spans="1:15" x14ac:dyDescent="0.2">
      <c r="A191" s="37"/>
      <c r="B191" s="90"/>
      <c r="C191" s="48"/>
      <c r="D191" s="38"/>
      <c r="E191" s="90"/>
      <c r="F191" s="48"/>
      <c r="G191" s="49"/>
      <c r="H191" s="53"/>
      <c r="I191" s="54"/>
      <c r="J191" s="54"/>
      <c r="K191" s="54"/>
      <c r="L191" s="55"/>
      <c r="M191" s="56"/>
      <c r="N191" s="56"/>
      <c r="O191" s="56"/>
    </row>
    <row r="192" spans="1:15" x14ac:dyDescent="0.2">
      <c r="A192" s="37"/>
      <c r="B192" s="90"/>
      <c r="C192" s="48"/>
      <c r="D192" s="38"/>
      <c r="E192" s="90"/>
      <c r="F192" s="48"/>
      <c r="G192" s="49"/>
      <c r="H192" s="53"/>
      <c r="I192" s="54"/>
      <c r="J192" s="54"/>
      <c r="K192" s="54"/>
      <c r="L192" s="55"/>
      <c r="M192" s="56"/>
      <c r="N192" s="56"/>
      <c r="O192" s="56"/>
    </row>
    <row r="193" spans="1:15" x14ac:dyDescent="0.2">
      <c r="A193" s="37"/>
      <c r="B193" s="90"/>
      <c r="C193" s="48"/>
      <c r="D193" s="38"/>
      <c r="E193" s="90"/>
      <c r="F193" s="48"/>
      <c r="G193" s="49"/>
      <c r="H193" s="53"/>
      <c r="I193" s="54"/>
      <c r="J193" s="54"/>
      <c r="K193" s="54"/>
      <c r="L193" s="55"/>
      <c r="M193" s="56"/>
      <c r="N193" s="56"/>
      <c r="O193" s="56"/>
    </row>
    <row r="194" spans="1:15" x14ac:dyDescent="0.2">
      <c r="A194" s="37"/>
      <c r="B194" s="90"/>
      <c r="C194" s="48"/>
      <c r="D194" s="38"/>
      <c r="E194" s="90"/>
      <c r="F194" s="48"/>
      <c r="G194" s="49"/>
      <c r="H194" s="53"/>
      <c r="I194" s="54"/>
      <c r="J194" s="54"/>
      <c r="K194" s="54"/>
      <c r="L194" s="55"/>
      <c r="M194" s="56"/>
      <c r="N194" s="56"/>
      <c r="O194" s="56"/>
    </row>
    <row r="195" spans="1:15" x14ac:dyDescent="0.2">
      <c r="A195" s="37"/>
      <c r="B195" s="90"/>
      <c r="C195" s="48"/>
      <c r="D195" s="38"/>
      <c r="E195" s="90"/>
      <c r="F195" s="48"/>
      <c r="G195" s="49"/>
      <c r="H195" s="53"/>
      <c r="I195" s="54"/>
      <c r="J195" s="54"/>
      <c r="K195" s="54"/>
      <c r="L195" s="55"/>
      <c r="M195" s="56"/>
      <c r="N195" s="56"/>
      <c r="O195" s="56"/>
    </row>
    <row r="196" spans="1:15" x14ac:dyDescent="0.2">
      <c r="A196" s="37"/>
      <c r="B196" s="90"/>
      <c r="C196" s="48"/>
      <c r="D196" s="38"/>
      <c r="E196" s="90"/>
      <c r="F196" s="48"/>
      <c r="G196" s="49"/>
      <c r="H196" s="53"/>
      <c r="I196" s="54"/>
      <c r="J196" s="54"/>
      <c r="K196" s="54"/>
      <c r="L196" s="55"/>
      <c r="M196" s="56"/>
      <c r="N196" s="56"/>
      <c r="O196" s="56"/>
    </row>
    <row r="197" spans="1:15" x14ac:dyDescent="0.2">
      <c r="A197" s="37"/>
      <c r="B197" s="90"/>
      <c r="C197" s="48"/>
      <c r="D197" s="38"/>
      <c r="E197" s="90"/>
      <c r="F197" s="48"/>
      <c r="G197" s="49"/>
      <c r="H197" s="53"/>
      <c r="I197" s="54"/>
      <c r="J197" s="54"/>
      <c r="K197" s="54"/>
      <c r="L197" s="55"/>
      <c r="M197" s="56"/>
      <c r="N197" s="56"/>
      <c r="O197" s="56"/>
    </row>
    <row r="198" spans="1:15" x14ac:dyDescent="0.2">
      <c r="A198" s="37"/>
      <c r="B198" s="90"/>
      <c r="C198" s="48"/>
      <c r="D198" s="38"/>
      <c r="E198" s="90"/>
      <c r="F198" s="48"/>
      <c r="G198" s="49"/>
      <c r="H198" s="53"/>
      <c r="I198" s="54"/>
      <c r="J198" s="54"/>
      <c r="K198" s="54"/>
      <c r="L198" s="55"/>
      <c r="M198" s="56"/>
      <c r="N198" s="56"/>
      <c r="O198" s="56"/>
    </row>
    <row r="199" spans="1:15" x14ac:dyDescent="0.2">
      <c r="A199" s="37"/>
      <c r="B199" s="90"/>
      <c r="C199" s="48"/>
      <c r="D199" s="38"/>
      <c r="E199" s="90"/>
      <c r="F199" s="48"/>
      <c r="G199" s="49"/>
      <c r="H199" s="53"/>
      <c r="I199" s="54"/>
      <c r="J199" s="54"/>
      <c r="K199" s="54"/>
      <c r="L199" s="55"/>
      <c r="M199" s="56"/>
      <c r="N199" s="56"/>
      <c r="O199" s="56"/>
    </row>
    <row r="200" spans="1:15" x14ac:dyDescent="0.2">
      <c r="A200" s="37"/>
      <c r="B200" s="90"/>
      <c r="C200" s="48"/>
      <c r="D200" s="38"/>
      <c r="E200" s="90"/>
      <c r="F200" s="48"/>
      <c r="G200" s="49"/>
      <c r="H200" s="53"/>
      <c r="I200" s="54"/>
      <c r="J200" s="54"/>
      <c r="K200" s="54"/>
      <c r="L200" s="55"/>
      <c r="M200" s="56"/>
      <c r="N200" s="56"/>
      <c r="O200" s="56"/>
    </row>
    <row r="201" spans="1:15" x14ac:dyDescent="0.2">
      <c r="A201" s="37"/>
      <c r="B201" s="90"/>
      <c r="C201" s="48"/>
      <c r="D201" s="38"/>
      <c r="E201" s="90"/>
      <c r="F201" s="48"/>
      <c r="G201" s="49"/>
      <c r="H201" s="53"/>
      <c r="I201" s="54"/>
      <c r="J201" s="54"/>
      <c r="K201" s="54"/>
      <c r="L201" s="55"/>
      <c r="M201" s="56"/>
      <c r="N201" s="56"/>
      <c r="O201" s="56"/>
    </row>
    <row r="202" spans="1:15" x14ac:dyDescent="0.2">
      <c r="A202" s="37"/>
      <c r="B202" s="90"/>
      <c r="C202" s="48"/>
      <c r="D202" s="38"/>
      <c r="E202" s="90"/>
      <c r="F202" s="48"/>
      <c r="G202" s="49"/>
      <c r="H202" s="53"/>
      <c r="I202" s="54"/>
      <c r="J202" s="54"/>
      <c r="K202" s="54"/>
      <c r="L202" s="55"/>
      <c r="M202" s="56"/>
      <c r="N202" s="56"/>
      <c r="O202" s="56"/>
    </row>
    <row r="203" spans="1:15" x14ac:dyDescent="0.2">
      <c r="A203" s="37"/>
      <c r="B203" s="90"/>
      <c r="C203" s="48"/>
      <c r="D203" s="38"/>
      <c r="E203" s="90"/>
      <c r="F203" s="48"/>
      <c r="G203" s="49"/>
      <c r="H203" s="53"/>
      <c r="I203" s="54"/>
      <c r="J203" s="54"/>
      <c r="K203" s="54"/>
      <c r="L203" s="55"/>
      <c r="M203" s="56"/>
      <c r="N203" s="56"/>
      <c r="O203" s="56"/>
    </row>
    <row r="204" spans="1:15" x14ac:dyDescent="0.2">
      <c r="A204" s="37"/>
      <c r="B204" s="90"/>
      <c r="C204" s="48"/>
      <c r="D204" s="38"/>
      <c r="E204" s="90"/>
      <c r="F204" s="48"/>
      <c r="G204" s="49"/>
      <c r="H204" s="53"/>
      <c r="I204" s="54"/>
      <c r="J204" s="54"/>
      <c r="K204" s="54"/>
      <c r="L204" s="55"/>
      <c r="M204" s="56"/>
      <c r="N204" s="56"/>
      <c r="O204" s="56"/>
    </row>
    <row r="205" spans="1:15" x14ac:dyDescent="0.2">
      <c r="A205" s="37"/>
      <c r="B205" s="90"/>
      <c r="C205" s="48"/>
      <c r="D205" s="38"/>
      <c r="E205" s="90"/>
      <c r="F205" s="48"/>
      <c r="G205" s="49"/>
      <c r="H205" s="53"/>
      <c r="I205" s="54"/>
      <c r="J205" s="54"/>
      <c r="K205" s="54"/>
      <c r="L205" s="55"/>
      <c r="M205" s="56"/>
      <c r="N205" s="56"/>
      <c r="O205" s="56"/>
    </row>
    <row r="206" spans="1:15" x14ac:dyDescent="0.2">
      <c r="A206" s="37"/>
      <c r="B206" s="90"/>
      <c r="C206" s="48"/>
      <c r="D206" s="38"/>
      <c r="E206" s="90"/>
      <c r="F206" s="48"/>
      <c r="G206" s="49"/>
      <c r="H206" s="53"/>
      <c r="I206" s="54"/>
      <c r="J206" s="54"/>
      <c r="K206" s="54"/>
      <c r="L206" s="55"/>
      <c r="M206" s="56"/>
      <c r="N206" s="56"/>
      <c r="O206" s="56"/>
    </row>
    <row r="207" spans="1:15" x14ac:dyDescent="0.2">
      <c r="A207" s="37"/>
      <c r="B207" s="90"/>
      <c r="C207" s="48"/>
      <c r="D207" s="38"/>
      <c r="E207" s="90"/>
      <c r="F207" s="48"/>
      <c r="G207" s="49"/>
      <c r="H207" s="53"/>
      <c r="I207" s="54"/>
      <c r="J207" s="54"/>
      <c r="K207" s="54"/>
      <c r="L207" s="55"/>
      <c r="M207" s="56"/>
      <c r="N207" s="56"/>
      <c r="O207" s="56"/>
    </row>
    <row r="208" spans="1:15" x14ac:dyDescent="0.2">
      <c r="A208" s="37"/>
      <c r="B208" s="90"/>
      <c r="C208" s="48"/>
      <c r="D208" s="38"/>
      <c r="E208" s="90"/>
      <c r="F208" s="48"/>
      <c r="G208" s="49"/>
      <c r="H208" s="53"/>
      <c r="I208" s="54"/>
      <c r="J208" s="54"/>
      <c r="K208" s="54"/>
      <c r="L208" s="55"/>
      <c r="M208" s="56"/>
      <c r="N208" s="56"/>
      <c r="O208" s="56"/>
    </row>
    <row r="209" spans="1:15" x14ac:dyDescent="0.2">
      <c r="A209" s="37"/>
      <c r="B209" s="90"/>
      <c r="C209" s="48"/>
      <c r="D209" s="38"/>
      <c r="E209" s="90"/>
      <c r="F209" s="48"/>
      <c r="G209" s="49"/>
      <c r="H209" s="53"/>
      <c r="I209" s="54"/>
      <c r="J209" s="54"/>
      <c r="K209" s="54"/>
      <c r="L209" s="55"/>
      <c r="M209" s="56"/>
      <c r="N209" s="56"/>
      <c r="O209" s="56"/>
    </row>
    <row r="210" spans="1:15" x14ac:dyDescent="0.2">
      <c r="A210" s="37"/>
      <c r="B210" s="90"/>
      <c r="C210" s="48"/>
      <c r="D210" s="38"/>
      <c r="E210" s="90"/>
      <c r="F210" s="48"/>
      <c r="G210" s="49"/>
      <c r="H210" s="53"/>
      <c r="I210" s="54"/>
      <c r="J210" s="54"/>
      <c r="K210" s="54"/>
      <c r="L210" s="55"/>
      <c r="M210" s="56"/>
      <c r="N210" s="56"/>
      <c r="O210" s="56"/>
    </row>
    <row r="211" spans="1:15" x14ac:dyDescent="0.2">
      <c r="A211" s="37"/>
      <c r="B211" s="90"/>
      <c r="C211" s="48"/>
      <c r="D211" s="38"/>
      <c r="E211" s="90"/>
      <c r="F211" s="48"/>
      <c r="G211" s="49"/>
      <c r="H211" s="53"/>
      <c r="I211" s="54"/>
      <c r="J211" s="54"/>
      <c r="K211" s="54"/>
      <c r="L211" s="55"/>
      <c r="M211" s="56"/>
      <c r="N211" s="56"/>
      <c r="O211" s="56"/>
    </row>
    <row r="212" spans="1:15" x14ac:dyDescent="0.2">
      <c r="A212" s="37"/>
      <c r="B212" s="90"/>
      <c r="C212" s="48"/>
      <c r="D212" s="38"/>
      <c r="E212" s="90"/>
      <c r="F212" s="48"/>
      <c r="G212" s="49"/>
      <c r="H212" s="53"/>
      <c r="I212" s="54"/>
      <c r="J212" s="54"/>
      <c r="K212" s="54"/>
      <c r="L212" s="55"/>
      <c r="M212" s="56"/>
      <c r="N212" s="56"/>
      <c r="O212" s="56"/>
    </row>
    <row r="213" spans="1:15" x14ac:dyDescent="0.2">
      <c r="A213" s="37"/>
      <c r="B213" s="90"/>
      <c r="C213" s="48"/>
      <c r="D213" s="38"/>
      <c r="E213" s="90"/>
      <c r="F213" s="48"/>
      <c r="G213" s="49"/>
      <c r="H213" s="53"/>
      <c r="I213" s="54"/>
      <c r="J213" s="54"/>
      <c r="K213" s="54"/>
      <c r="L213" s="55"/>
      <c r="M213" s="56"/>
      <c r="N213" s="56"/>
      <c r="O213" s="56"/>
    </row>
    <row r="214" spans="1:15" x14ac:dyDescent="0.2">
      <c r="A214" s="37"/>
      <c r="B214" s="90"/>
      <c r="C214" s="48"/>
      <c r="D214" s="38"/>
      <c r="E214" s="90"/>
      <c r="F214" s="48"/>
      <c r="G214" s="49"/>
      <c r="H214" s="53"/>
      <c r="I214" s="54"/>
      <c r="J214" s="54"/>
      <c r="K214" s="54"/>
      <c r="L214" s="55"/>
      <c r="M214" s="56"/>
      <c r="N214" s="56"/>
      <c r="O214" s="56"/>
    </row>
    <row r="215" spans="1:15" x14ac:dyDescent="0.2">
      <c r="A215" s="37"/>
      <c r="B215" s="90"/>
      <c r="C215" s="48"/>
      <c r="D215" s="38"/>
      <c r="E215" s="90"/>
      <c r="F215" s="48"/>
      <c r="G215" s="49"/>
      <c r="H215" s="53"/>
      <c r="I215" s="54"/>
      <c r="J215" s="54"/>
      <c r="K215" s="54"/>
      <c r="L215" s="55"/>
      <c r="M215" s="56"/>
      <c r="N215" s="56"/>
      <c r="O215" s="56"/>
    </row>
    <row r="216" spans="1:15" x14ac:dyDescent="0.2">
      <c r="A216" s="37"/>
      <c r="B216" s="90"/>
      <c r="C216" s="48"/>
      <c r="D216" s="38"/>
      <c r="E216" s="90"/>
      <c r="F216" s="48"/>
      <c r="G216" s="49"/>
      <c r="H216" s="53"/>
      <c r="I216" s="54"/>
      <c r="J216" s="54"/>
      <c r="K216" s="54"/>
      <c r="L216" s="55"/>
      <c r="M216" s="56"/>
      <c r="N216" s="56"/>
      <c r="O216" s="56"/>
    </row>
    <row r="217" spans="1:15" x14ac:dyDescent="0.2">
      <c r="A217" s="37"/>
      <c r="B217" s="90"/>
      <c r="C217" s="48"/>
      <c r="D217" s="38"/>
      <c r="E217" s="90"/>
      <c r="F217" s="48"/>
      <c r="G217" s="49"/>
      <c r="H217" s="53"/>
      <c r="I217" s="54"/>
      <c r="J217" s="54"/>
      <c r="K217" s="54"/>
      <c r="L217" s="55"/>
      <c r="M217" s="56"/>
      <c r="N217" s="56"/>
      <c r="O217" s="56"/>
    </row>
    <row r="218" spans="1:15" x14ac:dyDescent="0.2">
      <c r="A218" s="37"/>
      <c r="B218" s="90"/>
      <c r="C218" s="48"/>
      <c r="D218" s="38"/>
      <c r="E218" s="90"/>
      <c r="F218" s="48"/>
      <c r="G218" s="49"/>
      <c r="H218" s="53"/>
      <c r="I218" s="54"/>
      <c r="J218" s="54"/>
      <c r="K218" s="54"/>
      <c r="L218" s="55"/>
      <c r="M218" s="56"/>
      <c r="N218" s="56"/>
      <c r="O218" s="56"/>
    </row>
    <row r="219" spans="1:15" x14ac:dyDescent="0.2">
      <c r="A219" s="37"/>
      <c r="B219" s="90"/>
      <c r="C219" s="48"/>
      <c r="D219" s="38"/>
      <c r="E219" s="90"/>
      <c r="F219" s="48"/>
      <c r="G219" s="49"/>
      <c r="H219" s="53"/>
      <c r="I219" s="54"/>
      <c r="J219" s="54"/>
      <c r="K219" s="54"/>
      <c r="L219" s="55"/>
      <c r="M219" s="56"/>
      <c r="N219" s="56"/>
      <c r="O219" s="56"/>
    </row>
    <row r="220" spans="1:15" x14ac:dyDescent="0.2">
      <c r="A220" s="37"/>
      <c r="B220" s="90"/>
      <c r="C220" s="48"/>
      <c r="D220" s="38"/>
      <c r="E220" s="90"/>
      <c r="F220" s="48"/>
      <c r="G220" s="49"/>
      <c r="H220" s="53"/>
      <c r="I220" s="54"/>
      <c r="J220" s="54"/>
      <c r="K220" s="54"/>
      <c r="L220" s="55"/>
      <c r="M220" s="56"/>
      <c r="N220" s="56"/>
      <c r="O220" s="56"/>
    </row>
    <row r="221" spans="1:15" x14ac:dyDescent="0.2">
      <c r="A221" s="37"/>
      <c r="B221" s="90"/>
      <c r="C221" s="48"/>
      <c r="D221" s="38"/>
      <c r="E221" s="90"/>
      <c r="F221" s="48"/>
      <c r="G221" s="49"/>
      <c r="H221" s="53"/>
      <c r="I221" s="54"/>
      <c r="J221" s="54"/>
      <c r="K221" s="54"/>
      <c r="L221" s="55"/>
      <c r="M221" s="56"/>
      <c r="N221" s="56"/>
      <c r="O221" s="56"/>
    </row>
    <row r="222" spans="1:15" x14ac:dyDescent="0.2">
      <c r="A222" s="37"/>
      <c r="B222" s="90"/>
      <c r="C222" s="48"/>
      <c r="D222" s="38"/>
      <c r="E222" s="90"/>
      <c r="F222" s="48"/>
      <c r="G222" s="49"/>
      <c r="H222" s="53"/>
      <c r="I222" s="54"/>
      <c r="J222" s="54"/>
      <c r="K222" s="54"/>
      <c r="L222" s="55"/>
      <c r="M222" s="56"/>
      <c r="N222" s="56"/>
      <c r="O222" s="56"/>
    </row>
    <row r="223" spans="1:15" x14ac:dyDescent="0.2">
      <c r="A223" s="37"/>
      <c r="B223" s="90"/>
      <c r="C223" s="48"/>
      <c r="D223" s="38"/>
      <c r="E223" s="90"/>
      <c r="F223" s="48"/>
      <c r="G223" s="49"/>
      <c r="H223" s="53"/>
      <c r="I223" s="54"/>
      <c r="J223" s="54"/>
      <c r="K223" s="54"/>
      <c r="L223" s="55"/>
      <c r="M223" s="56"/>
      <c r="N223" s="56"/>
      <c r="O223" s="56"/>
    </row>
    <row r="224" spans="1:15" x14ac:dyDescent="0.2">
      <c r="A224" s="37"/>
      <c r="B224" s="90"/>
      <c r="C224" s="48"/>
      <c r="D224" s="38"/>
      <c r="E224" s="90"/>
      <c r="F224" s="48"/>
      <c r="G224" s="49"/>
      <c r="H224" s="53"/>
      <c r="I224" s="54"/>
      <c r="J224" s="54"/>
      <c r="K224" s="54"/>
      <c r="L224" s="55"/>
      <c r="M224" s="56"/>
      <c r="N224" s="56"/>
      <c r="O224" s="56"/>
    </row>
    <row r="225" spans="1:15" x14ac:dyDescent="0.2">
      <c r="A225" s="37"/>
      <c r="B225" s="90"/>
      <c r="C225" s="48"/>
      <c r="D225" s="38"/>
      <c r="E225" s="90"/>
      <c r="F225" s="48"/>
      <c r="G225" s="49"/>
      <c r="H225" s="53"/>
      <c r="I225" s="54"/>
      <c r="J225" s="54"/>
      <c r="K225" s="54"/>
      <c r="L225" s="55"/>
      <c r="M225" s="56"/>
      <c r="N225" s="56"/>
      <c r="O225" s="56"/>
    </row>
    <row r="226" spans="1:15" x14ac:dyDescent="0.2">
      <c r="A226" s="37"/>
      <c r="B226" s="90"/>
      <c r="C226" s="48"/>
      <c r="D226" s="38"/>
      <c r="E226" s="90"/>
      <c r="F226" s="48"/>
      <c r="G226" s="49"/>
      <c r="H226" s="53"/>
      <c r="I226" s="54"/>
      <c r="J226" s="54"/>
      <c r="K226" s="54"/>
      <c r="L226" s="55"/>
      <c r="M226" s="56"/>
      <c r="N226" s="56"/>
      <c r="O226" s="56"/>
    </row>
    <row r="227" spans="1:15" x14ac:dyDescent="0.2">
      <c r="A227" s="37"/>
      <c r="B227" s="90"/>
      <c r="C227" s="48"/>
      <c r="D227" s="38"/>
      <c r="E227" s="90"/>
      <c r="F227" s="48"/>
      <c r="G227" s="49"/>
      <c r="H227" s="53"/>
      <c r="I227" s="54"/>
      <c r="J227" s="54"/>
      <c r="K227" s="54"/>
      <c r="L227" s="55"/>
      <c r="M227" s="56"/>
      <c r="N227" s="56"/>
      <c r="O227" s="56"/>
    </row>
    <row r="228" spans="1:15" x14ac:dyDescent="0.2">
      <c r="A228" s="37"/>
      <c r="B228" s="90"/>
      <c r="C228" s="48"/>
      <c r="D228" s="38"/>
      <c r="E228" s="90"/>
      <c r="F228" s="48"/>
      <c r="G228" s="49"/>
      <c r="H228" s="53"/>
      <c r="I228" s="54"/>
      <c r="J228" s="54"/>
      <c r="K228" s="54"/>
      <c r="L228" s="55"/>
      <c r="M228" s="56"/>
      <c r="N228" s="56"/>
      <c r="O228" s="56"/>
    </row>
    <row r="229" spans="1:15" x14ac:dyDescent="0.2">
      <c r="A229" s="37"/>
      <c r="B229" s="90"/>
      <c r="C229" s="48"/>
      <c r="D229" s="38"/>
      <c r="E229" s="90"/>
      <c r="F229" s="48"/>
      <c r="G229" s="49"/>
      <c r="H229" s="53"/>
      <c r="I229" s="54"/>
      <c r="J229" s="54"/>
      <c r="K229" s="54"/>
      <c r="L229" s="55"/>
      <c r="M229" s="56"/>
      <c r="N229" s="56"/>
      <c r="O229" s="56"/>
    </row>
    <row r="230" spans="1:15" x14ac:dyDescent="0.2">
      <c r="A230" s="37"/>
      <c r="B230" s="90"/>
      <c r="C230" s="48"/>
      <c r="D230" s="38"/>
      <c r="E230" s="90"/>
      <c r="F230" s="48"/>
      <c r="G230" s="49"/>
      <c r="H230" s="53"/>
      <c r="I230" s="54"/>
      <c r="J230" s="54"/>
      <c r="K230" s="54"/>
      <c r="L230" s="55"/>
      <c r="M230" s="56"/>
      <c r="N230" s="56"/>
      <c r="O230" s="56"/>
    </row>
    <row r="231" spans="1:15" x14ac:dyDescent="0.2">
      <c r="A231" s="37"/>
      <c r="B231" s="90"/>
      <c r="C231" s="48"/>
      <c r="D231" s="38"/>
      <c r="E231" s="90"/>
      <c r="F231" s="48"/>
      <c r="G231" s="49"/>
      <c r="H231" s="53"/>
      <c r="I231" s="54"/>
      <c r="J231" s="54"/>
      <c r="K231" s="54"/>
      <c r="L231" s="55"/>
      <c r="M231" s="56"/>
      <c r="N231" s="56"/>
      <c r="O231" s="56"/>
    </row>
    <row r="232" spans="1:15" x14ac:dyDescent="0.2">
      <c r="A232" s="37"/>
      <c r="B232" s="90"/>
      <c r="C232" s="48"/>
      <c r="D232" s="38"/>
      <c r="E232" s="90"/>
      <c r="F232" s="48"/>
      <c r="G232" s="49"/>
      <c r="H232" s="53"/>
      <c r="I232" s="54"/>
      <c r="J232" s="54"/>
      <c r="K232" s="54"/>
      <c r="L232" s="55"/>
      <c r="M232" s="56"/>
      <c r="N232" s="56"/>
      <c r="O232" s="56"/>
    </row>
    <row r="233" spans="1:15" x14ac:dyDescent="0.2">
      <c r="A233" s="37"/>
      <c r="B233" s="90"/>
      <c r="C233" s="48"/>
      <c r="D233" s="38"/>
      <c r="E233" s="90"/>
      <c r="F233" s="48"/>
      <c r="G233" s="49"/>
      <c r="H233" s="53"/>
      <c r="I233" s="54"/>
      <c r="J233" s="54"/>
      <c r="K233" s="54"/>
      <c r="L233" s="55"/>
      <c r="M233" s="56"/>
      <c r="N233" s="56"/>
      <c r="O233" s="56"/>
    </row>
    <row r="234" spans="1:15" x14ac:dyDescent="0.2">
      <c r="A234" s="37"/>
      <c r="B234" s="90"/>
      <c r="C234" s="48"/>
      <c r="D234" s="38"/>
      <c r="E234" s="90"/>
      <c r="F234" s="48"/>
      <c r="G234" s="49"/>
      <c r="H234" s="53"/>
      <c r="I234" s="54"/>
      <c r="J234" s="54"/>
      <c r="K234" s="54"/>
      <c r="L234" s="55"/>
      <c r="M234" s="56"/>
      <c r="N234" s="56"/>
      <c r="O234" s="56"/>
    </row>
    <row r="235" spans="1:15" x14ac:dyDescent="0.2">
      <c r="A235" s="37"/>
      <c r="B235" s="90"/>
      <c r="C235" s="48"/>
      <c r="D235" s="38"/>
      <c r="E235" s="90"/>
      <c r="F235" s="48"/>
      <c r="G235" s="49"/>
      <c r="H235" s="53"/>
      <c r="I235" s="54"/>
      <c r="J235" s="54"/>
      <c r="K235" s="54"/>
      <c r="L235" s="55"/>
      <c r="M235" s="56"/>
      <c r="N235" s="56"/>
      <c r="O235" s="56"/>
    </row>
    <row r="236" spans="1:15" x14ac:dyDescent="0.2">
      <c r="A236" s="37"/>
      <c r="B236" s="90"/>
      <c r="C236" s="48"/>
      <c r="D236" s="38"/>
      <c r="E236" s="90"/>
      <c r="F236" s="48"/>
      <c r="G236" s="49"/>
      <c r="H236" s="53"/>
      <c r="I236" s="54"/>
      <c r="J236" s="54"/>
      <c r="K236" s="54"/>
      <c r="L236" s="55"/>
      <c r="M236" s="56"/>
      <c r="N236" s="56"/>
      <c r="O236" s="56"/>
    </row>
    <row r="237" spans="1:15" x14ac:dyDescent="0.2">
      <c r="A237" s="37"/>
      <c r="B237" s="90"/>
      <c r="C237" s="48"/>
      <c r="D237" s="38"/>
      <c r="E237" s="90"/>
      <c r="F237" s="48"/>
      <c r="G237" s="49"/>
      <c r="H237" s="53"/>
      <c r="I237" s="54"/>
      <c r="J237" s="54"/>
      <c r="K237" s="54"/>
      <c r="L237" s="55"/>
      <c r="M237" s="56"/>
      <c r="N237" s="56"/>
      <c r="O237" s="56"/>
    </row>
    <row r="238" spans="1:15" x14ac:dyDescent="0.2">
      <c r="A238" s="37"/>
      <c r="B238" s="90"/>
      <c r="C238" s="48"/>
      <c r="D238" s="38"/>
      <c r="E238" s="90"/>
      <c r="F238" s="48"/>
      <c r="G238" s="49"/>
      <c r="H238" s="53"/>
      <c r="I238" s="54"/>
      <c r="J238" s="54"/>
      <c r="K238" s="54"/>
      <c r="L238" s="55"/>
      <c r="M238" s="56"/>
      <c r="N238" s="56"/>
      <c r="O238" s="56"/>
    </row>
    <row r="239" spans="1:15" x14ac:dyDescent="0.2">
      <c r="A239" s="37"/>
      <c r="B239" s="90"/>
      <c r="C239" s="48"/>
      <c r="D239" s="38"/>
      <c r="E239" s="90"/>
      <c r="F239" s="48"/>
      <c r="G239" s="49"/>
      <c r="H239" s="53"/>
      <c r="I239" s="54"/>
      <c r="J239" s="54"/>
      <c r="K239" s="54"/>
      <c r="L239" s="55"/>
      <c r="M239" s="56"/>
      <c r="N239" s="56"/>
      <c r="O239" s="56"/>
    </row>
    <row r="240" spans="1:15" x14ac:dyDescent="0.2">
      <c r="A240" s="37"/>
      <c r="B240" s="90"/>
      <c r="C240" s="48"/>
      <c r="D240" s="38"/>
      <c r="E240" s="90"/>
      <c r="F240" s="48"/>
      <c r="G240" s="49"/>
      <c r="H240" s="53"/>
      <c r="I240" s="54"/>
      <c r="J240" s="54"/>
      <c r="K240" s="54"/>
      <c r="L240" s="55"/>
      <c r="M240" s="56"/>
      <c r="N240" s="56"/>
      <c r="O240" s="56"/>
    </row>
    <row r="241" spans="1:15" x14ac:dyDescent="0.2">
      <c r="A241" s="37"/>
      <c r="B241" s="90"/>
      <c r="C241" s="48"/>
      <c r="D241" s="38"/>
      <c r="E241" s="90"/>
      <c r="F241" s="48"/>
      <c r="G241" s="49"/>
      <c r="H241" s="53"/>
      <c r="I241" s="54"/>
      <c r="J241" s="54"/>
      <c r="K241" s="54"/>
      <c r="L241" s="55"/>
      <c r="M241" s="56"/>
      <c r="N241" s="56"/>
      <c r="O241" s="56"/>
    </row>
    <row r="242" spans="1:15" x14ac:dyDescent="0.2">
      <c r="A242" s="37"/>
      <c r="B242" s="90"/>
      <c r="C242" s="48"/>
      <c r="D242" s="38"/>
      <c r="E242" s="90"/>
      <c r="F242" s="48"/>
      <c r="G242" s="49"/>
      <c r="H242" s="53"/>
      <c r="I242" s="54"/>
      <c r="J242" s="54"/>
      <c r="K242" s="54"/>
      <c r="L242" s="55"/>
      <c r="M242" s="56"/>
      <c r="N242" s="56"/>
      <c r="O242" s="56"/>
    </row>
    <row r="243" spans="1:15" x14ac:dyDescent="0.2">
      <c r="A243" s="37"/>
      <c r="B243" s="90"/>
      <c r="C243" s="48"/>
      <c r="D243" s="38"/>
      <c r="E243" s="90"/>
      <c r="F243" s="48"/>
      <c r="G243" s="49"/>
      <c r="H243" s="53"/>
      <c r="I243" s="54"/>
      <c r="J243" s="54"/>
      <c r="K243" s="54"/>
      <c r="L243" s="55"/>
      <c r="M243" s="56"/>
      <c r="N243" s="56"/>
      <c r="O243" s="56"/>
    </row>
    <row r="244" spans="1:15" x14ac:dyDescent="0.2">
      <c r="A244" s="37"/>
      <c r="B244" s="90"/>
      <c r="C244" s="48"/>
      <c r="D244" s="38"/>
      <c r="E244" s="90"/>
      <c r="F244" s="48"/>
      <c r="G244" s="49"/>
      <c r="H244" s="53"/>
      <c r="I244" s="54"/>
      <c r="J244" s="54"/>
      <c r="K244" s="54"/>
      <c r="L244" s="55"/>
      <c r="M244" s="56"/>
      <c r="N244" s="56"/>
      <c r="O244" s="56"/>
    </row>
    <row r="245" spans="1:15" x14ac:dyDescent="0.2">
      <c r="A245" s="37"/>
      <c r="B245" s="90"/>
      <c r="C245" s="48"/>
      <c r="D245" s="38"/>
      <c r="E245" s="90"/>
      <c r="F245" s="48"/>
      <c r="G245" s="49"/>
      <c r="H245" s="53"/>
      <c r="I245" s="54"/>
      <c r="J245" s="54"/>
      <c r="K245" s="54"/>
      <c r="L245" s="55"/>
      <c r="M245" s="56"/>
      <c r="N245" s="56"/>
      <c r="O245" s="56"/>
    </row>
    <row r="246" spans="1:15" x14ac:dyDescent="0.2">
      <c r="A246" s="37"/>
      <c r="B246" s="90"/>
      <c r="C246" s="48"/>
      <c r="D246" s="38"/>
      <c r="E246" s="90"/>
      <c r="F246" s="48"/>
      <c r="G246" s="49"/>
      <c r="H246" s="53"/>
      <c r="I246" s="54"/>
      <c r="J246" s="54"/>
      <c r="K246" s="54"/>
      <c r="L246" s="55"/>
      <c r="M246" s="56"/>
      <c r="N246" s="56"/>
      <c r="O246" s="56"/>
    </row>
    <row r="247" spans="1:15" x14ac:dyDescent="0.2">
      <c r="A247" s="37"/>
      <c r="B247" s="90"/>
      <c r="C247" s="48"/>
      <c r="D247" s="38"/>
      <c r="E247" s="90"/>
      <c r="F247" s="48"/>
      <c r="G247" s="49"/>
      <c r="H247" s="53"/>
      <c r="I247" s="54"/>
      <c r="J247" s="54"/>
      <c r="K247" s="54"/>
      <c r="L247" s="55"/>
      <c r="M247" s="56"/>
      <c r="N247" s="56"/>
      <c r="O247" s="56"/>
    </row>
    <row r="248" spans="1:15" x14ac:dyDescent="0.2">
      <c r="A248" s="37"/>
      <c r="B248" s="90"/>
      <c r="C248" s="48"/>
      <c r="D248" s="38"/>
      <c r="E248" s="90"/>
      <c r="F248" s="48"/>
      <c r="G248" s="49"/>
      <c r="H248" s="53"/>
      <c r="I248" s="54"/>
      <c r="J248" s="54"/>
      <c r="K248" s="54"/>
      <c r="L248" s="55"/>
      <c r="M248" s="56"/>
      <c r="N248" s="56"/>
      <c r="O248" s="56"/>
    </row>
    <row r="249" spans="1:15" x14ac:dyDescent="0.2">
      <c r="A249" s="37"/>
      <c r="B249" s="90"/>
      <c r="C249" s="48"/>
      <c r="D249" s="38"/>
      <c r="E249" s="90"/>
      <c r="F249" s="48"/>
      <c r="G249" s="49"/>
      <c r="H249" s="53"/>
      <c r="I249" s="54"/>
      <c r="J249" s="54"/>
      <c r="K249" s="54"/>
      <c r="L249" s="55"/>
      <c r="M249" s="56"/>
      <c r="N249" s="56"/>
      <c r="O249" s="56"/>
    </row>
    <row r="250" spans="1:15" x14ac:dyDescent="0.2">
      <c r="A250" s="37"/>
      <c r="B250" s="90"/>
      <c r="C250" s="48"/>
      <c r="D250" s="38"/>
      <c r="E250" s="90"/>
      <c r="F250" s="48"/>
      <c r="G250" s="49"/>
      <c r="H250" s="53"/>
      <c r="I250" s="54"/>
      <c r="J250" s="54"/>
      <c r="K250" s="54"/>
      <c r="L250" s="55"/>
      <c r="M250" s="56"/>
      <c r="N250" s="56"/>
      <c r="O250" s="56"/>
    </row>
    <row r="251" spans="1:15" x14ac:dyDescent="0.2">
      <c r="A251" s="37"/>
      <c r="B251" s="90"/>
      <c r="C251" s="48"/>
      <c r="D251" s="38"/>
      <c r="E251" s="90"/>
      <c r="F251" s="48"/>
      <c r="G251" s="49"/>
      <c r="H251" s="53"/>
      <c r="I251" s="54"/>
      <c r="J251" s="54"/>
      <c r="K251" s="54"/>
      <c r="L251" s="55"/>
      <c r="M251" s="56"/>
      <c r="N251" s="56"/>
      <c r="O251" s="56"/>
    </row>
    <row r="252" spans="1:15" x14ac:dyDescent="0.2">
      <c r="A252" s="37"/>
      <c r="B252" s="90"/>
      <c r="C252" s="48"/>
      <c r="D252" s="38"/>
      <c r="E252" s="90"/>
      <c r="F252" s="48"/>
      <c r="G252" s="49"/>
      <c r="H252" s="53"/>
      <c r="I252" s="54"/>
      <c r="J252" s="54"/>
      <c r="K252" s="54"/>
      <c r="L252" s="55"/>
      <c r="M252" s="56"/>
      <c r="N252" s="56"/>
      <c r="O252" s="56"/>
    </row>
    <row r="253" spans="1:15" x14ac:dyDescent="0.2">
      <c r="A253" s="37"/>
      <c r="B253" s="90"/>
      <c r="C253" s="48"/>
      <c r="D253" s="38"/>
      <c r="E253" s="90"/>
      <c r="F253" s="48"/>
      <c r="G253" s="49"/>
      <c r="H253" s="53"/>
      <c r="I253" s="54"/>
      <c r="J253" s="54"/>
      <c r="K253" s="54"/>
      <c r="L253" s="55"/>
      <c r="M253" s="56"/>
      <c r="N253" s="56"/>
      <c r="O253" s="56"/>
    </row>
    <row r="254" spans="1:15" x14ac:dyDescent="0.2">
      <c r="A254" s="37"/>
      <c r="B254" s="90"/>
      <c r="C254" s="48"/>
      <c r="D254" s="38"/>
      <c r="E254" s="90"/>
      <c r="F254" s="48"/>
      <c r="G254" s="49"/>
      <c r="H254" s="53"/>
      <c r="I254" s="54"/>
      <c r="J254" s="54"/>
      <c r="K254" s="54"/>
      <c r="L254" s="55"/>
      <c r="M254" s="56"/>
      <c r="N254" s="56"/>
      <c r="O254" s="56"/>
    </row>
    <row r="255" spans="1:15" x14ac:dyDescent="0.2">
      <c r="A255" s="37"/>
      <c r="B255" s="90"/>
      <c r="C255" s="48"/>
      <c r="D255" s="38"/>
      <c r="E255" s="90"/>
      <c r="F255" s="48"/>
      <c r="G255" s="49"/>
      <c r="H255" s="53"/>
      <c r="I255" s="54"/>
      <c r="J255" s="54"/>
      <c r="K255" s="54"/>
      <c r="L255" s="55"/>
      <c r="M255" s="56"/>
      <c r="N255" s="56"/>
      <c r="O255" s="56"/>
    </row>
    <row r="256" spans="1:15" x14ac:dyDescent="0.2">
      <c r="A256" s="37"/>
      <c r="B256" s="90"/>
      <c r="C256" s="48"/>
      <c r="D256" s="38"/>
      <c r="E256" s="90"/>
      <c r="F256" s="48"/>
      <c r="G256" s="49"/>
      <c r="H256" s="53"/>
      <c r="I256" s="54"/>
      <c r="J256" s="54"/>
      <c r="K256" s="54"/>
      <c r="L256" s="55"/>
      <c r="M256" s="56"/>
      <c r="N256" s="56"/>
      <c r="O256" s="56"/>
    </row>
    <row r="257" spans="1:15" x14ac:dyDescent="0.2">
      <c r="A257" s="37"/>
      <c r="B257" s="90"/>
      <c r="C257" s="48"/>
      <c r="D257" s="38"/>
      <c r="E257" s="90"/>
      <c r="F257" s="48"/>
      <c r="G257" s="49"/>
      <c r="H257" s="53"/>
      <c r="I257" s="54"/>
      <c r="J257" s="54"/>
      <c r="K257" s="54"/>
      <c r="L257" s="55"/>
      <c r="M257" s="56"/>
      <c r="N257" s="56"/>
      <c r="O257" s="56"/>
    </row>
    <row r="258" spans="1:15" x14ac:dyDescent="0.2">
      <c r="A258" s="37"/>
      <c r="B258" s="90"/>
      <c r="C258" s="48"/>
      <c r="D258" s="38"/>
      <c r="E258" s="90"/>
      <c r="F258" s="48"/>
      <c r="G258" s="49"/>
      <c r="H258" s="53"/>
      <c r="I258" s="54"/>
      <c r="J258" s="54"/>
      <c r="K258" s="54"/>
      <c r="L258" s="55"/>
      <c r="M258" s="56"/>
      <c r="N258" s="56"/>
      <c r="O258" s="56"/>
    </row>
    <row r="259" spans="1:15" x14ac:dyDescent="0.2">
      <c r="A259" s="37"/>
      <c r="B259" s="90"/>
      <c r="C259" s="48"/>
      <c r="D259" s="38"/>
      <c r="E259" s="90"/>
      <c r="F259" s="48"/>
      <c r="G259" s="49"/>
      <c r="H259" s="53"/>
      <c r="I259" s="54"/>
      <c r="J259" s="54"/>
      <c r="K259" s="54"/>
      <c r="L259" s="55"/>
      <c r="M259" s="56"/>
      <c r="N259" s="56"/>
      <c r="O259" s="56"/>
    </row>
  </sheetData>
  <mergeCells count="10">
    <mergeCell ref="D6:F6"/>
    <mergeCell ref="D7:F7"/>
    <mergeCell ref="A5:C5"/>
    <mergeCell ref="A6:C6"/>
    <mergeCell ref="A7:C7"/>
    <mergeCell ref="A4:F4"/>
    <mergeCell ref="D5:F5"/>
    <mergeCell ref="F1:O1"/>
    <mergeCell ref="A2:O2"/>
    <mergeCell ref="C1:D1"/>
  </mergeCells>
  <hyperlinks>
    <hyperlink ref="A1" location="Overview!A1" display="Back to Overview"/>
  </hyperlinks>
  <pageMargins left="0.39370078740157483" right="0.35433070866141736" top="0.86614173228346458" bottom="0.55118110236220474" header="0.27559055118110237" footer="0.27559055118110237"/>
  <pageSetup paperSize="9" scale="65"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3" width="9.140625" style="42"/>
    <col min="14" max="14" width="9.42578125" style="42" bestFit="1" customWidth="1"/>
    <col min="15" max="16384" width="9.140625" style="42"/>
  </cols>
  <sheetData>
    <row r="1" spans="1:14" ht="66.75" customHeight="1" x14ac:dyDescent="0.2">
      <c r="A1" s="256" t="s">
        <v>67</v>
      </c>
      <c r="B1" s="256"/>
      <c r="C1" s="256"/>
      <c r="D1" s="256"/>
      <c r="E1" s="256"/>
      <c r="F1" s="256"/>
      <c r="G1" s="256"/>
      <c r="H1" s="256"/>
    </row>
    <row r="2" spans="1:14" s="43" customFormat="1" ht="25.5" customHeight="1" x14ac:dyDescent="0.2">
      <c r="A2" s="261" t="str">
        <f>Overview!B4&amp; " - Effective from "&amp;Overview!D4&amp;" - "&amp;Overview!E4&amp;" EDCM import charges"</f>
        <v>South Eastern Power Networks - Effective from 1 April 2021 - Final EDCM import charges</v>
      </c>
      <c r="B2" s="262"/>
      <c r="C2" s="262"/>
      <c r="D2" s="262"/>
      <c r="E2" s="262"/>
      <c r="F2" s="262"/>
      <c r="G2" s="262"/>
      <c r="H2" s="263"/>
    </row>
    <row r="3" spans="1:14" s="79" customFormat="1" ht="18" x14ac:dyDescent="0.2">
      <c r="A3" s="83"/>
      <c r="B3" s="83"/>
      <c r="C3" s="83"/>
      <c r="D3" s="84"/>
      <c r="E3" s="85"/>
      <c r="F3" s="85"/>
      <c r="G3" s="86"/>
      <c r="H3" s="86"/>
      <c r="I3" s="76"/>
      <c r="J3" s="76"/>
      <c r="K3" s="76"/>
      <c r="L3" s="76"/>
      <c r="M3" s="76"/>
      <c r="N3" s="76"/>
    </row>
    <row r="4" spans="1:14" ht="60.75" customHeight="1" x14ac:dyDescent="0.2">
      <c r="A4" s="44" t="s">
        <v>52</v>
      </c>
      <c r="B4" s="45" t="s">
        <v>35</v>
      </c>
      <c r="C4" s="44" t="s">
        <v>36</v>
      </c>
      <c r="D4" s="46" t="s">
        <v>29</v>
      </c>
      <c r="E4" s="129" t="str">
        <f>'Annex 2 EHV charges'!H9</f>
        <v>Import
Super Red
unit charge
(p/kWh)</v>
      </c>
      <c r="F4" s="129" t="str">
        <f>'Annex 2 EHV charges'!I9</f>
        <v>Import
fixed charge
(p/day)</v>
      </c>
      <c r="G4" s="129" t="str">
        <f>'Annex 2 EHV charges'!J9</f>
        <v>Import
capacity charge
(p/kVA/day)</v>
      </c>
      <c r="H4" s="129" t="str">
        <f>'Annex 2 EHV charges'!K9</f>
        <v>Import
exceeded capacity charge
(p/kVA/day)</v>
      </c>
    </row>
    <row r="5" spans="1:14" ht="12.75" customHeight="1" x14ac:dyDescent="0.2">
      <c r="A5" s="91" t="str">
        <f t="array" ref="A5">IFERROR(INDEX('Annex 2 EHV charges'!$A$10:$A$259, MATCH(0, IF(ISBLANK('Annex 2 EHV charges'!$A$10:$A$259),1, COUNTIF(A$4:$A4, 'Annex 2 EHV charges'!$A$10:$A$259)), 0)),"")</f>
        <v>B&amp;RLTD</v>
      </c>
      <c r="B5" s="91">
        <f>IF($A5="","",VLOOKUP($A5,'Annex 2 EHV charges'!$A:$O,2,0))</f>
        <v>834</v>
      </c>
      <c r="C5" s="92" t="str">
        <f>IF($A5="","",VLOOKUP($A5,'Annex 2 EHV charges'!$A:$O,3,0))</f>
        <v>1900035000482
1900035425153</v>
      </c>
      <c r="D5" s="91" t="str">
        <f>IF($A5="","",VLOOKUP($A5,'Annex 2 EHV charges'!$A:$O,7,0))</f>
        <v>B&amp;RLTD</v>
      </c>
      <c r="E5" s="96">
        <f>IFERROR(IF(VLOOKUP($A5,'Annex 2 EHV charges'!$A:$O,8,FALSE)=0,"",VLOOKUP($A5,'Annex 2 EHV charges'!$A:$O,8,FALSE)),"")</f>
        <v>2.8620000000000001</v>
      </c>
      <c r="F5" s="97">
        <f>IFERROR(IF(VLOOKUP($A5,'Annex 2 EHV charges'!$A:$O,9,FALSE)=0,"",VLOOKUP($A5,'Annex 2 EHV charges'!$A:$O,9,FALSE)),"")</f>
        <v>218.82</v>
      </c>
      <c r="G5" s="98">
        <f>IFERROR(IF(VLOOKUP($A5,'Annex 2 EHV charges'!$A:$O,10,FALSE)=0,"",VLOOKUP($A5,'Annex 2 EHV charges'!$A:$O,10,FALSE)),"")</f>
        <v>5.37</v>
      </c>
      <c r="H5" s="98">
        <f>IFERROR(IF(VLOOKUP($A5,'Annex 2 EHV charges'!$A:$O,11,FALSE)=0,"",VLOOKUP($A5,'Annex 2 EHV charges'!$A:$O,11,FALSE)),"")</f>
        <v>5.37</v>
      </c>
    </row>
    <row r="6" spans="1:14" ht="12.75" customHeight="1" x14ac:dyDescent="0.2">
      <c r="A6" s="91" t="str">
        <f t="array" ref="A6">IFERROR(INDEX('Annex 2 EHV charges'!$A$10:$A$259, MATCH(0, IF(ISBLANK('Annex 2 EHV charges'!$A$10:$A$259),1, COUNTIF(A$4:$A5, 'Annex 2 EHV charges'!$A$10:$A$259)), 0)),"")</f>
        <v>BEDDIN</v>
      </c>
      <c r="B6" s="91">
        <f>IF($A6="","",VLOOKUP($A6,'Annex 2 EHV charges'!$A:$O,2,0))</f>
        <v>889</v>
      </c>
      <c r="C6" s="92" t="str">
        <f>IF($A6="","",VLOOKUP($A6,'Annex 2 EHV charges'!$A:$O,3,0))</f>
        <v>1900070745640
1900070745650
1900070745669
1900070745678</v>
      </c>
      <c r="D6" s="91" t="str">
        <f>IF($A6="","",VLOOKUP($A6,'Annex 2 EHV charges'!$A:$O,7,0))</f>
        <v>BEDDIN</v>
      </c>
      <c r="E6" s="96" t="str">
        <f>IFERROR(IF(VLOOKUP($A6,'Annex 2 EHV charges'!$A:$O,8,FALSE)=0,"",VLOOKUP($A6,'Annex 2 EHV charges'!$A:$O,8,FALSE)),"")</f>
        <v/>
      </c>
      <c r="F6" s="97">
        <f>IFERROR(IF(VLOOKUP($A6,'Annex 2 EHV charges'!$A:$O,9,FALSE)=0,"",VLOOKUP($A6,'Annex 2 EHV charges'!$A:$O,9,FALSE)),"")</f>
        <v>109.41</v>
      </c>
      <c r="G6" s="98">
        <f>IFERROR(IF(VLOOKUP($A6,'Annex 2 EHV charges'!$A:$O,10,FALSE)=0,"",VLOOKUP($A6,'Annex 2 EHV charges'!$A:$O,10,FALSE)),"")</f>
        <v>1.26</v>
      </c>
      <c r="H6" s="98">
        <f>IFERROR(IF(VLOOKUP($A6,'Annex 2 EHV charges'!$A:$O,11,FALSE)=0,"",VLOOKUP($A6,'Annex 2 EHV charges'!$A:$O,11,FALSE)),"")</f>
        <v>1.26</v>
      </c>
    </row>
    <row r="7" spans="1:14" ht="12.75" customHeight="1" x14ac:dyDescent="0.2">
      <c r="A7" s="91" t="str">
        <f t="array" ref="A7">IFERROR(INDEX('Annex 2 EHV charges'!$A$10:$A$259, MATCH(0, IF(ISBLANK('Annex 2 EHV charges'!$A$10:$A$259),1, COUNTIF(A$4:$A6, 'Annex 2 EHV charges'!$A$10:$A$259)), 0)),"")</f>
        <v>BP_OIL</v>
      </c>
      <c r="B7" s="91">
        <f>IF($A7="","",VLOOKUP($A7,'Annex 2 EHV charges'!$A:$O,2,0))</f>
        <v>835</v>
      </c>
      <c r="C7" s="92" t="str">
        <f>IF($A7="","",VLOOKUP($A7,'Annex 2 EHV charges'!$A:$O,3,0))</f>
        <v>1900017426438
1900017426447</v>
      </c>
      <c r="D7" s="91" t="str">
        <f>IF($A7="","",VLOOKUP($A7,'Annex 2 EHV charges'!$A:$O,7,0))</f>
        <v>BP_OIL</v>
      </c>
      <c r="E7" s="96">
        <f>IFERROR(IF(VLOOKUP($A7,'Annex 2 EHV charges'!$A:$O,8,FALSE)=0,"",VLOOKUP($A7,'Annex 2 EHV charges'!$A:$O,8,FALSE)),"")</f>
        <v>1.109</v>
      </c>
      <c r="F7" s="97">
        <f>IFERROR(IF(VLOOKUP($A7,'Annex 2 EHV charges'!$A:$O,9,FALSE)=0,"",VLOOKUP($A7,'Annex 2 EHV charges'!$A:$O,9,FALSE)),"")</f>
        <v>218.82</v>
      </c>
      <c r="G7" s="98">
        <f>IFERROR(IF(VLOOKUP($A7,'Annex 2 EHV charges'!$A:$O,10,FALSE)=0,"",VLOOKUP($A7,'Annex 2 EHV charges'!$A:$O,10,FALSE)),"")</f>
        <v>1.84</v>
      </c>
      <c r="H7" s="98">
        <f>IFERROR(IF(VLOOKUP($A7,'Annex 2 EHV charges'!$A:$O,11,FALSE)=0,"",VLOOKUP($A7,'Annex 2 EHV charges'!$A:$O,11,FALSE)),"")</f>
        <v>1.84</v>
      </c>
    </row>
    <row r="8" spans="1:14" ht="12.75" customHeight="1" x14ac:dyDescent="0.2">
      <c r="A8" s="91" t="str">
        <f t="array" ref="A8">IFERROR(INDEX('Annex 2 EHV charges'!$A$10:$A$259, MATCH(0, IF(ISBLANK('Annex 2 EHV charges'!$A$10:$A$259),1, COUNTIF(A$4:$A7, 'Annex 2 EHV charges'!$A$10:$A$259)), 0)),"")</f>
        <v>CHESDC</v>
      </c>
      <c r="B8" s="91" t="str">
        <f>IF($A8="","",VLOOKUP($A8,'Annex 2 EHV charges'!$A:$O,2,0))</f>
        <v>ENET</v>
      </c>
      <c r="C8" s="92" t="str">
        <f>IF($A8="","",VLOOKUP($A8,'Annex 2 EHV charges'!$A:$O,3,0))</f>
        <v>1999000002228
1999000002237</v>
      </c>
      <c r="D8" s="91" t="str">
        <f>IF($A8="","",VLOOKUP($A8,'Annex 2 EHV charges'!$A:$O,7,0))</f>
        <v>CHESDC</v>
      </c>
      <c r="E8" s="96" t="str">
        <f>IFERROR(IF(VLOOKUP($A8,'Annex 2 EHV charges'!$A:$O,8,FALSE)=0,"",VLOOKUP($A8,'Annex 2 EHV charges'!$A:$O,8,FALSE)),"")</f>
        <v/>
      </c>
      <c r="F8" s="97">
        <f>IFERROR(IF(VLOOKUP($A8,'Annex 2 EHV charges'!$A:$O,9,FALSE)=0,"",VLOOKUP($A8,'Annex 2 EHV charges'!$A:$O,9,FALSE)),"")</f>
        <v>627.76</v>
      </c>
      <c r="G8" s="98">
        <f>IFERROR(IF(VLOOKUP($A8,'Annex 2 EHV charges'!$A:$O,10,FALSE)=0,"",VLOOKUP($A8,'Annex 2 EHV charges'!$A:$O,10,FALSE)),"")</f>
        <v>1.55</v>
      </c>
      <c r="H8" s="98">
        <f>IFERROR(IF(VLOOKUP($A8,'Annex 2 EHV charges'!$A:$O,11,FALSE)=0,"",VLOOKUP($A8,'Annex 2 EHV charges'!$A:$O,11,FALSE)),"")</f>
        <v>1.55</v>
      </c>
    </row>
    <row r="9" spans="1:14" ht="12.75" customHeight="1" x14ac:dyDescent="0.2">
      <c r="A9" s="91" t="str">
        <f t="array" ref="A9">IFERROR(INDEX('Annex 2 EHV charges'!$A$10:$A$259, MATCH(0, IF(ISBLANK('Annex 2 EHV charges'!$A$10:$A$259),1, COUNTIF(A$4:$A8, 'Annex 2 EHV charges'!$A$10:$A$259)), 0)),"")</f>
        <v>DIGREA</v>
      </c>
      <c r="B9" s="91">
        <f>IF($A9="","",VLOOKUP($A9,'Annex 2 EHV charges'!$A:$O,2,0))</f>
        <v>833</v>
      </c>
      <c r="C9" s="92" t="str">
        <f>IF($A9="","",VLOOKUP($A9,'Annex 2 EHV charges'!$A:$O,3,0))</f>
        <v>1900091200323
1900091200332</v>
      </c>
      <c r="D9" s="91" t="str">
        <f>IF($A9="","",VLOOKUP($A9,'Annex 2 EHV charges'!$A:$O,7,0))</f>
        <v>DIGREA</v>
      </c>
      <c r="E9" s="96" t="str">
        <f>IFERROR(IF(VLOOKUP($A9,'Annex 2 EHV charges'!$A:$O,8,FALSE)=0,"",VLOOKUP($A9,'Annex 2 EHV charges'!$A:$O,8,FALSE)),"")</f>
        <v/>
      </c>
      <c r="F9" s="97">
        <f>IFERROR(IF(VLOOKUP($A9,'Annex 2 EHV charges'!$A:$O,9,FALSE)=0,"",VLOOKUP($A9,'Annex 2 EHV charges'!$A:$O,9,FALSE)),"")</f>
        <v>1536.48</v>
      </c>
      <c r="G9" s="98">
        <f>IFERROR(IF(VLOOKUP($A9,'Annex 2 EHV charges'!$A:$O,10,FALSE)=0,"",VLOOKUP($A9,'Annex 2 EHV charges'!$A:$O,10,FALSE)),"")</f>
        <v>3.48</v>
      </c>
      <c r="H9" s="98">
        <f>IFERROR(IF(VLOOKUP($A9,'Annex 2 EHV charges'!$A:$O,11,FALSE)=0,"",VLOOKUP($A9,'Annex 2 EHV charges'!$A:$O,11,FALSE)),"")</f>
        <v>3.48</v>
      </c>
    </row>
    <row r="10" spans="1:14" ht="12.75" customHeight="1" x14ac:dyDescent="0.2">
      <c r="A10" s="91" t="str">
        <f t="array" ref="A10">IFERROR(INDEX('Annex 2 EHV charges'!$A$10:$A$259, MATCH(0, IF(ISBLANK('Annex 2 EHV charges'!$A$10:$A$259),1, COUNTIF(A$4:$A9, 'Annex 2 EHV charges'!$A$10:$A$259)), 0)),"")</f>
        <v>EUROTU</v>
      </c>
      <c r="B10" s="91">
        <f>IF($A10="","",VLOOKUP($A10,'Annex 2 EHV charges'!$A:$O,2,0))</f>
        <v>874</v>
      </c>
      <c r="C10" s="92">
        <f>IF($A10="","",VLOOKUP($A10,'Annex 2 EHV charges'!$A:$O,3,0))</f>
        <v>1900060219605</v>
      </c>
      <c r="D10" s="91" t="str">
        <f>IF($A10="","",VLOOKUP($A10,'Annex 2 EHV charges'!$A:$O,7,0))</f>
        <v>EUROTU</v>
      </c>
      <c r="E10" s="96" t="str">
        <f>IFERROR(IF(VLOOKUP($A10,'Annex 2 EHV charges'!$A:$O,8,FALSE)=0,"",VLOOKUP($A10,'Annex 2 EHV charges'!$A:$O,8,FALSE)),"")</f>
        <v/>
      </c>
      <c r="F10" s="97">
        <f>IFERROR(IF(VLOOKUP($A10,'Annex 2 EHV charges'!$A:$O,9,FALSE)=0,"",VLOOKUP($A10,'Annex 2 EHV charges'!$A:$O,9,FALSE)),"")</f>
        <v>90359.38</v>
      </c>
      <c r="G10" s="98">
        <f>IFERROR(IF(VLOOKUP($A10,'Annex 2 EHV charges'!$A:$O,10,FALSE)=0,"",VLOOKUP($A10,'Annex 2 EHV charges'!$A:$O,10,FALSE)),"")</f>
        <v>0.65</v>
      </c>
      <c r="H10" s="98">
        <f>IFERROR(IF(VLOOKUP($A10,'Annex 2 EHV charges'!$A:$O,11,FALSE)=0,"",VLOOKUP($A10,'Annex 2 EHV charges'!$A:$O,11,FALSE)),"")</f>
        <v>0.65</v>
      </c>
    </row>
    <row r="11" spans="1:14" ht="12.75" customHeight="1" x14ac:dyDescent="0.2">
      <c r="A11" s="91" t="str">
        <f t="array" ref="A11">IFERROR(INDEX('Annex 2 EHV charges'!$A$10:$A$259, MATCH(0, IF(ISBLANK('Annex 2 EHV charges'!$A$10:$A$259),1, COUNTIF(A$4:$A10, 'Annex 2 EHV charges'!$A$10:$A$259)), 0)),"")</f>
        <v>GAT_AF</v>
      </c>
      <c r="B11" s="91">
        <f>IF($A11="","",VLOOKUP($A11,'Annex 2 EHV charges'!$A:$O,2,0))</f>
        <v>869</v>
      </c>
      <c r="C11" s="92" t="str">
        <f>IF($A11="","",VLOOKUP($A11,'Annex 2 EHV charges'!$A:$O,3,0))</f>
        <v>1900017427938
1900017427947
1900060576620</v>
      </c>
      <c r="D11" s="91" t="str">
        <f>IF($A11="","",VLOOKUP($A11,'Annex 2 EHV charges'!$A:$O,7,0))</f>
        <v>GAT_AF</v>
      </c>
      <c r="E11" s="96">
        <f>IFERROR(IF(VLOOKUP($A11,'Annex 2 EHV charges'!$A:$O,8,FALSE)=0,"",VLOOKUP($A11,'Annex 2 EHV charges'!$A:$O,8,FALSE)),"")</f>
        <v>2.1379999999999999</v>
      </c>
      <c r="F11" s="97">
        <f>IFERROR(IF(VLOOKUP($A11,'Annex 2 EHV charges'!$A:$O,9,FALSE)=0,"",VLOOKUP($A11,'Annex 2 EHV charges'!$A:$O,9,FALSE)),"")</f>
        <v>2443.9</v>
      </c>
      <c r="G11" s="98">
        <f>IFERROR(IF(VLOOKUP($A11,'Annex 2 EHV charges'!$A:$O,10,FALSE)=0,"",VLOOKUP($A11,'Annex 2 EHV charges'!$A:$O,10,FALSE)),"")</f>
        <v>7.42</v>
      </c>
      <c r="H11" s="98">
        <f>IFERROR(IF(VLOOKUP($A11,'Annex 2 EHV charges'!$A:$O,11,FALSE)=0,"",VLOOKUP($A11,'Annex 2 EHV charges'!$A:$O,11,FALSE)),"")</f>
        <v>7.42</v>
      </c>
    </row>
    <row r="12" spans="1:14" ht="12.75" customHeight="1" x14ac:dyDescent="0.2">
      <c r="A12" s="91" t="str">
        <f t="array" ref="A12">IFERROR(INDEX('Annex 2 EHV charges'!$A$10:$A$259, MATCH(0, IF(ISBLANK('Annex 2 EHV charges'!$A$10:$A$259),1, COUNTIF(A$4:$A11, 'Annex 2 EHV charges'!$A$10:$A$259)), 0)),"")</f>
        <v>GAT_BF</v>
      </c>
      <c r="B12" s="91">
        <f>IF($A12="","",VLOOKUP($A12,'Annex 2 EHV charges'!$A:$O,2,0))</f>
        <v>870</v>
      </c>
      <c r="C12" s="92" t="str">
        <f>IF($A12="","",VLOOKUP($A12,'Annex 2 EHV charges'!$A:$O,3,0))</f>
        <v>1900060690231
1900060690240</v>
      </c>
      <c r="D12" s="91" t="str">
        <f>IF($A12="","",VLOOKUP($A12,'Annex 2 EHV charges'!$A:$O,7,0))</f>
        <v>GAT_BF</v>
      </c>
      <c r="E12" s="96">
        <f>IFERROR(IF(VLOOKUP($A12,'Annex 2 EHV charges'!$A:$O,8,FALSE)=0,"",VLOOKUP($A12,'Annex 2 EHV charges'!$A:$O,8,FALSE)),"")</f>
        <v>0.72299999999999998</v>
      </c>
      <c r="F12" s="97">
        <f>IFERROR(IF(VLOOKUP($A12,'Annex 2 EHV charges'!$A:$O,9,FALSE)=0,"",VLOOKUP($A12,'Annex 2 EHV charges'!$A:$O,9,FALSE)),"")</f>
        <v>627.76</v>
      </c>
      <c r="G12" s="98">
        <f>IFERROR(IF(VLOOKUP($A12,'Annex 2 EHV charges'!$A:$O,10,FALSE)=0,"",VLOOKUP($A12,'Annex 2 EHV charges'!$A:$O,10,FALSE)),"")</f>
        <v>4.84</v>
      </c>
      <c r="H12" s="98">
        <f>IFERROR(IF(VLOOKUP($A12,'Annex 2 EHV charges'!$A:$O,11,FALSE)=0,"",VLOOKUP($A12,'Annex 2 EHV charges'!$A:$O,11,FALSE)),"")</f>
        <v>4.84</v>
      </c>
    </row>
    <row r="13" spans="1:14" ht="12.75" customHeight="1" x14ac:dyDescent="0.2">
      <c r="A13" s="91" t="str">
        <f t="array" ref="A13">IFERROR(INDEX('Annex 2 EHV charges'!$A$10:$A$259, MATCH(0, IF(ISBLANK('Annex 2 EHV charges'!$A$10:$A$259),1, COUNTIF(A$4:$A12, 'Annex 2 EHV charges'!$A$10:$A$259)), 0)),"")</f>
        <v>KNGSPN</v>
      </c>
      <c r="B13" s="91">
        <f>IF($A13="","",VLOOKUP($A13,'Annex 2 EHV charges'!$A:$O,2,0))</f>
        <v>0</v>
      </c>
      <c r="C13" s="92" t="str">
        <f>IF($A13="","",VLOOKUP($A13,'Annex 2 EHV charges'!$A:$O,3,0))</f>
        <v>MSID: 1027</v>
      </c>
      <c r="D13" s="91" t="str">
        <f>IF($A13="","",VLOOKUP($A13,'Annex 2 EHV charges'!$A:$O,7,0))</f>
        <v>KNGSPN</v>
      </c>
      <c r="E13" s="96" t="str">
        <f>IFERROR(IF(VLOOKUP($A13,'Annex 2 EHV charges'!$A:$O,8,FALSE)=0,"",VLOOKUP($A13,'Annex 2 EHV charges'!$A:$O,8,FALSE)),"")</f>
        <v/>
      </c>
      <c r="F13" s="97" t="str">
        <f>IFERROR(IF(VLOOKUP($A13,'Annex 2 EHV charges'!$A:$O,9,FALSE)=0,"",VLOOKUP($A13,'Annex 2 EHV charges'!$A:$O,9,FALSE)),"")</f>
        <v/>
      </c>
      <c r="G13" s="98">
        <f>IFERROR(IF(VLOOKUP($A13,'Annex 2 EHV charges'!$A:$O,10,FALSE)=0,"",VLOOKUP($A13,'Annex 2 EHV charges'!$A:$O,10,FALSE)),"")</f>
        <v>2.7</v>
      </c>
      <c r="H13" s="98">
        <f>IFERROR(IF(VLOOKUP($A13,'Annex 2 EHV charges'!$A:$O,11,FALSE)=0,"",VLOOKUP($A13,'Annex 2 EHV charges'!$A:$O,11,FALSE)),"")</f>
        <v>2.7</v>
      </c>
    </row>
    <row r="14" spans="1:14" ht="12.75" customHeight="1" x14ac:dyDescent="0.2">
      <c r="A14" s="91" t="str">
        <f t="array" ref="A14">IFERROR(INDEX('Annex 2 EHV charges'!$A$10:$A$259, MATCH(0, IF(ISBLANK('Annex 2 EHV charges'!$A$10:$A$259),1, COUNTIF(A$4:$A13, 'Annex 2 EHV charges'!$A$10:$A$259)), 0)),"")</f>
        <v>NP_LAB</v>
      </c>
      <c r="B14" s="91">
        <f>IF($A14="","",VLOOKUP($A14,'Annex 2 EHV charges'!$A:$O,2,0))</f>
        <v>837</v>
      </c>
      <c r="C14" s="92">
        <f>IF($A14="","",VLOOKUP($A14,'Annex 2 EHV charges'!$A:$O,3,0))</f>
        <v>1900047386380</v>
      </c>
      <c r="D14" s="91" t="str">
        <f>IF($A14="","",VLOOKUP($A14,'Annex 2 EHV charges'!$A:$O,7,0))</f>
        <v>NP_LAB</v>
      </c>
      <c r="E14" s="96">
        <f>IFERROR(IF(VLOOKUP($A14,'Annex 2 EHV charges'!$A:$O,8,FALSE)=0,"",VLOOKUP($A14,'Annex 2 EHV charges'!$A:$O,8,FALSE)),"")</f>
        <v>2.3980000000000001</v>
      </c>
      <c r="F14" s="97">
        <f>IFERROR(IF(VLOOKUP($A14,'Annex 2 EHV charges'!$A:$O,9,FALSE)=0,"",VLOOKUP($A14,'Annex 2 EHV charges'!$A:$O,9,FALSE)),"")</f>
        <v>437.64</v>
      </c>
      <c r="G14" s="98">
        <f>IFERROR(IF(VLOOKUP($A14,'Annex 2 EHV charges'!$A:$O,10,FALSE)=0,"",VLOOKUP($A14,'Annex 2 EHV charges'!$A:$O,10,FALSE)),"")</f>
        <v>4.49</v>
      </c>
      <c r="H14" s="98">
        <f>IFERROR(IF(VLOOKUP($A14,'Annex 2 EHV charges'!$A:$O,11,FALSE)=0,"",VLOOKUP($A14,'Annex 2 EHV charges'!$A:$O,11,FALSE)),"")</f>
        <v>4.49</v>
      </c>
    </row>
    <row r="15" spans="1:14" ht="12.75" customHeight="1" x14ac:dyDescent="0.2">
      <c r="A15" s="91" t="str">
        <f t="array" ref="A15">IFERROR(INDEX('Annex 2 EHV charges'!$A$10:$A$259, MATCH(0, IF(ISBLANK('Annex 2 EHV charges'!$A$10:$A$259),1, COUNTIF(A$4:$A14, 'Annex 2 EHV charges'!$A$10:$A$259)), 0)),"")</f>
        <v>NR_3BR</v>
      </c>
      <c r="B15" s="91">
        <f>IF($A15="","",VLOOKUP($A15,'Annex 2 EHV charges'!$A:$O,2,0))</f>
        <v>866</v>
      </c>
      <c r="C15" s="92">
        <f>IF($A15="","",VLOOKUP($A15,'Annex 2 EHV charges'!$A:$O,3,0))</f>
        <v>1900060219145</v>
      </c>
      <c r="D15" s="91" t="str">
        <f>IF($A15="","",VLOOKUP($A15,'Annex 2 EHV charges'!$A:$O,7,0))</f>
        <v>NR_3BR</v>
      </c>
      <c r="E15" s="96">
        <f>IFERROR(IF(VLOOKUP($A15,'Annex 2 EHV charges'!$A:$O,8,FALSE)=0,"",VLOOKUP($A15,'Annex 2 EHV charges'!$A:$O,8,FALSE)),"")</f>
        <v>0.86299999999999999</v>
      </c>
      <c r="F15" s="97">
        <f>IFERROR(IF(VLOOKUP($A15,'Annex 2 EHV charges'!$A:$O,9,FALSE)=0,"",VLOOKUP($A15,'Annex 2 EHV charges'!$A:$O,9,FALSE)),"")</f>
        <v>941.64</v>
      </c>
      <c r="G15" s="98">
        <f>IFERROR(IF(VLOOKUP($A15,'Annex 2 EHV charges'!$A:$O,10,FALSE)=0,"",VLOOKUP($A15,'Annex 2 EHV charges'!$A:$O,10,FALSE)),"")</f>
        <v>4.66</v>
      </c>
      <c r="H15" s="98">
        <f>IFERROR(IF(VLOOKUP($A15,'Annex 2 EHV charges'!$A:$O,11,FALSE)=0,"",VLOOKUP($A15,'Annex 2 EHV charges'!$A:$O,11,FALSE)),"")</f>
        <v>4.66</v>
      </c>
    </row>
    <row r="16" spans="1:14" ht="12.75" customHeight="1" x14ac:dyDescent="0.2">
      <c r="A16" s="91" t="str">
        <f t="array" ref="A16">IFERROR(INDEX('Annex 2 EHV charges'!$A$10:$A$259, MATCH(0, IF(ISBLANK('Annex 2 EHV charges'!$A$10:$A$259),1, COUNTIF(A$4:$A15, 'Annex 2 EHV charges'!$A$10:$A$259)), 0)),"")</f>
        <v>NR_AFD</v>
      </c>
      <c r="B16" s="91">
        <f>IF($A16="","",VLOOKUP($A16,'Annex 2 EHV charges'!$A:$O,2,0))</f>
        <v>851</v>
      </c>
      <c r="C16" s="92">
        <f>IF($A16="","",VLOOKUP($A16,'Annex 2 EHV charges'!$A:$O,3,0))</f>
        <v>1900060219377</v>
      </c>
      <c r="D16" s="91" t="str">
        <f>IF($A16="","",VLOOKUP($A16,'Annex 2 EHV charges'!$A:$O,7,0))</f>
        <v>NR_AFD</v>
      </c>
      <c r="E16" s="96">
        <f>IFERROR(IF(VLOOKUP($A16,'Annex 2 EHV charges'!$A:$O,8,FALSE)=0,"",VLOOKUP($A16,'Annex 2 EHV charges'!$A:$O,8,FALSE)),"")</f>
        <v>0.17599999999999999</v>
      </c>
      <c r="F16" s="97">
        <f>IFERROR(IF(VLOOKUP($A16,'Annex 2 EHV charges'!$A:$O,9,FALSE)=0,"",VLOOKUP($A16,'Annex 2 EHV charges'!$A:$O,9,FALSE)),"")</f>
        <v>627.76</v>
      </c>
      <c r="G16" s="98">
        <f>IFERROR(IF(VLOOKUP($A16,'Annex 2 EHV charges'!$A:$O,10,FALSE)=0,"",VLOOKUP($A16,'Annex 2 EHV charges'!$A:$O,10,FALSE)),"")</f>
        <v>2.4</v>
      </c>
      <c r="H16" s="98">
        <f>IFERROR(IF(VLOOKUP($A16,'Annex 2 EHV charges'!$A:$O,11,FALSE)=0,"",VLOOKUP($A16,'Annex 2 EHV charges'!$A:$O,11,FALSE)),"")</f>
        <v>2.4</v>
      </c>
    </row>
    <row r="17" spans="1:8" ht="12.75" customHeight="1" x14ac:dyDescent="0.2">
      <c r="A17" s="91" t="str">
        <f t="array" ref="A17">IFERROR(INDEX('Annex 2 EHV charges'!$A$10:$A$259, MATCH(0, IF(ISBLANK('Annex 2 EHV charges'!$A$10:$A$259),1, COUNTIF(A$4:$A16, 'Annex 2 EHV charges'!$A$10:$A$259)), 0)),"")</f>
        <v>NR_ASH</v>
      </c>
      <c r="B17" s="91">
        <f>IF($A17="","",VLOOKUP($A17,'Annex 2 EHV charges'!$A:$O,2,0))</f>
        <v>879</v>
      </c>
      <c r="C17" s="92">
        <f>IF($A17="","",VLOOKUP($A17,'Annex 2 EHV charges'!$A:$O,3,0))</f>
        <v>1900070068129</v>
      </c>
      <c r="D17" s="91" t="str">
        <f>IF($A17="","",VLOOKUP($A17,'Annex 2 EHV charges'!$A:$O,7,0))</f>
        <v>NR_ASH</v>
      </c>
      <c r="E17" s="96">
        <f>IFERROR(IF(VLOOKUP($A17,'Annex 2 EHV charges'!$A:$O,8,FALSE)=0,"",VLOOKUP($A17,'Annex 2 EHV charges'!$A:$O,8,FALSE)),"")</f>
        <v>0.224</v>
      </c>
      <c r="F17" s="97">
        <f>IFERROR(IF(VLOOKUP($A17,'Annex 2 EHV charges'!$A:$O,9,FALSE)=0,"",VLOOKUP($A17,'Annex 2 EHV charges'!$A:$O,9,FALSE)),"")</f>
        <v>627.76</v>
      </c>
      <c r="G17" s="98">
        <f>IFERROR(IF(VLOOKUP($A17,'Annex 2 EHV charges'!$A:$O,10,FALSE)=0,"",VLOOKUP($A17,'Annex 2 EHV charges'!$A:$O,10,FALSE)),"")</f>
        <v>4.41</v>
      </c>
      <c r="H17" s="98">
        <f>IFERROR(IF(VLOOKUP($A17,'Annex 2 EHV charges'!$A:$O,11,FALSE)=0,"",VLOOKUP($A17,'Annex 2 EHV charges'!$A:$O,11,FALSE)),"")</f>
        <v>4.41</v>
      </c>
    </row>
    <row r="18" spans="1:8" ht="12.75" customHeight="1" x14ac:dyDescent="0.2">
      <c r="A18" s="91" t="str">
        <f t="array" ref="A18">IFERROR(INDEX('Annex 2 EHV charges'!$A$10:$A$259, MATCH(0, IF(ISBLANK('Annex 2 EHV charges'!$A$10:$A$259),1, COUNTIF(A$4:$A17, 'Annex 2 EHV charges'!$A$10:$A$259)), 0)),"")</f>
        <v>NR_BRI</v>
      </c>
      <c r="B18" s="91">
        <f>IF($A18="","",VLOOKUP($A18,'Annex 2 EHV charges'!$A:$O,2,0))</f>
        <v>852</v>
      </c>
      <c r="C18" s="92">
        <f>IF($A18="","",VLOOKUP($A18,'Annex 2 EHV charges'!$A:$O,3,0))</f>
        <v>1900060218675</v>
      </c>
      <c r="D18" s="91" t="str">
        <f>IF($A18="","",VLOOKUP($A18,'Annex 2 EHV charges'!$A:$O,7,0))</f>
        <v>NR_BRI</v>
      </c>
      <c r="E18" s="96" t="str">
        <f>IFERROR(IF(VLOOKUP($A18,'Annex 2 EHV charges'!$A:$O,8,FALSE)=0,"",VLOOKUP($A18,'Annex 2 EHV charges'!$A:$O,8,FALSE)),"")</f>
        <v/>
      </c>
      <c r="F18" s="97">
        <f>IFERROR(IF(VLOOKUP($A18,'Annex 2 EHV charges'!$A:$O,9,FALSE)=0,"",VLOOKUP($A18,'Annex 2 EHV charges'!$A:$O,9,FALSE)),"")</f>
        <v>941.64</v>
      </c>
      <c r="G18" s="98">
        <f>IFERROR(IF(VLOOKUP($A18,'Annex 2 EHV charges'!$A:$O,10,FALSE)=0,"",VLOOKUP($A18,'Annex 2 EHV charges'!$A:$O,10,FALSE)),"")</f>
        <v>2.44</v>
      </c>
      <c r="H18" s="98">
        <f>IFERROR(IF(VLOOKUP($A18,'Annex 2 EHV charges'!$A:$O,11,FALSE)=0,"",VLOOKUP($A18,'Annex 2 EHV charges'!$A:$O,11,FALSE)),"")</f>
        <v>2.44</v>
      </c>
    </row>
    <row r="19" spans="1:8" ht="12.75" customHeight="1" x14ac:dyDescent="0.2">
      <c r="A19" s="91" t="str">
        <f t="array" ref="A19">IFERROR(INDEX('Annex 2 EHV charges'!$A$10:$A$259, MATCH(0, IF(ISBLANK('Annex 2 EHV charges'!$A$10:$A$259),1, COUNTIF(A$4:$A18, 'Annex 2 EHV charges'!$A$10:$A$259)), 0)),"")</f>
        <v>NR_BYF</v>
      </c>
      <c r="B19" s="91">
        <f>IF($A19="","",VLOOKUP($A19,'Annex 2 EHV charges'!$A:$O,2,0))</f>
        <v>853</v>
      </c>
      <c r="C19" s="92">
        <f>IF($A19="","",VLOOKUP($A19,'Annex 2 EHV charges'!$A:$O,3,0))</f>
        <v>1900060218727</v>
      </c>
      <c r="D19" s="91" t="str">
        <f>IF($A19="","",VLOOKUP($A19,'Annex 2 EHV charges'!$A:$O,7,0))</f>
        <v>NR_BYF</v>
      </c>
      <c r="E19" s="96">
        <f>IFERROR(IF(VLOOKUP($A19,'Annex 2 EHV charges'!$A:$O,8,FALSE)=0,"",VLOOKUP($A19,'Annex 2 EHV charges'!$A:$O,8,FALSE)),"")</f>
        <v>0.26300000000000001</v>
      </c>
      <c r="F19" s="97">
        <f>IFERROR(IF(VLOOKUP($A19,'Annex 2 EHV charges'!$A:$O,9,FALSE)=0,"",VLOOKUP($A19,'Annex 2 EHV charges'!$A:$O,9,FALSE)),"")</f>
        <v>941.64</v>
      </c>
      <c r="G19" s="98">
        <f>IFERROR(IF(VLOOKUP($A19,'Annex 2 EHV charges'!$A:$O,10,FALSE)=0,"",VLOOKUP($A19,'Annex 2 EHV charges'!$A:$O,10,FALSE)),"")</f>
        <v>2.17</v>
      </c>
      <c r="H19" s="98">
        <f>IFERROR(IF(VLOOKUP($A19,'Annex 2 EHV charges'!$A:$O,11,FALSE)=0,"",VLOOKUP($A19,'Annex 2 EHV charges'!$A:$O,11,FALSE)),"")</f>
        <v>2.17</v>
      </c>
    </row>
    <row r="20" spans="1:8" ht="12.75" customHeight="1" x14ac:dyDescent="0.2">
      <c r="A20" s="91" t="str">
        <f t="array" ref="A20">IFERROR(INDEX('Annex 2 EHV charges'!$A$10:$A$259, MATCH(0, IF(ISBLANK('Annex 2 EHV charges'!$A$10:$A$259),1, COUNTIF(A$4:$A19, 'Annex 2 EHV charges'!$A$10:$A$259)), 0)),"")</f>
        <v>NR_CAN</v>
      </c>
      <c r="B20" s="91">
        <f>IF($A20="","",VLOOKUP($A20,'Annex 2 EHV charges'!$A:$O,2,0))</f>
        <v>854</v>
      </c>
      <c r="C20" s="92">
        <f>IF($A20="","",VLOOKUP($A20,'Annex 2 EHV charges'!$A:$O,3,0))</f>
        <v>1900060218790</v>
      </c>
      <c r="D20" s="91" t="str">
        <f>IF($A20="","",VLOOKUP($A20,'Annex 2 EHV charges'!$A:$O,7,0))</f>
        <v>NR_CAN</v>
      </c>
      <c r="E20" s="96">
        <f>IFERROR(IF(VLOOKUP($A20,'Annex 2 EHV charges'!$A:$O,8,FALSE)=0,"",VLOOKUP($A20,'Annex 2 EHV charges'!$A:$O,8,FALSE)),"")</f>
        <v>1.7000000000000001E-2</v>
      </c>
      <c r="F20" s="97">
        <f>IFERROR(IF(VLOOKUP($A20,'Annex 2 EHV charges'!$A:$O,9,FALSE)=0,"",VLOOKUP($A20,'Annex 2 EHV charges'!$A:$O,9,FALSE)),"")</f>
        <v>627.76</v>
      </c>
      <c r="G20" s="98">
        <f>IFERROR(IF(VLOOKUP($A20,'Annex 2 EHV charges'!$A:$O,10,FALSE)=0,"",VLOOKUP($A20,'Annex 2 EHV charges'!$A:$O,10,FALSE)),"")</f>
        <v>3.01</v>
      </c>
      <c r="H20" s="98">
        <f>IFERROR(IF(VLOOKUP($A20,'Annex 2 EHV charges'!$A:$O,11,FALSE)=0,"",VLOOKUP($A20,'Annex 2 EHV charges'!$A:$O,11,FALSE)),"")</f>
        <v>3.01</v>
      </c>
    </row>
    <row r="21" spans="1:8" ht="12.75" customHeight="1" x14ac:dyDescent="0.2">
      <c r="A21" s="91" t="str">
        <f t="array" ref="A21">IFERROR(INDEX('Annex 2 EHV charges'!$A$10:$A$259, MATCH(0, IF(ISBLANK('Annex 2 EHV charges'!$A$10:$A$259),1, COUNTIF(A$4:$A20, 'Annex 2 EHV charges'!$A$10:$A$259)), 0)),"")</f>
        <v>NR_CRO</v>
      </c>
      <c r="B21" s="91">
        <f>IF($A21="","",VLOOKUP($A21,'Annex 2 EHV charges'!$A:$O,2,0))</f>
        <v>855</v>
      </c>
      <c r="C21" s="92">
        <f>IF($A21="","",VLOOKUP($A21,'Annex 2 EHV charges'!$A:$O,3,0))</f>
        <v>1900060218815</v>
      </c>
      <c r="D21" s="91" t="str">
        <f>IF($A21="","",VLOOKUP($A21,'Annex 2 EHV charges'!$A:$O,7,0))</f>
        <v>NR_CRO</v>
      </c>
      <c r="E21" s="96" t="str">
        <f>IFERROR(IF(VLOOKUP($A21,'Annex 2 EHV charges'!$A:$O,8,FALSE)=0,"",VLOOKUP($A21,'Annex 2 EHV charges'!$A:$O,8,FALSE)),"")</f>
        <v/>
      </c>
      <c r="F21" s="97">
        <f>IFERROR(IF(VLOOKUP($A21,'Annex 2 EHV charges'!$A:$O,9,FALSE)=0,"",VLOOKUP($A21,'Annex 2 EHV charges'!$A:$O,9,FALSE)),"")</f>
        <v>627.76</v>
      </c>
      <c r="G21" s="98">
        <f>IFERROR(IF(VLOOKUP($A21,'Annex 2 EHV charges'!$A:$O,10,FALSE)=0,"",VLOOKUP($A21,'Annex 2 EHV charges'!$A:$O,10,FALSE)),"")</f>
        <v>2.88</v>
      </c>
      <c r="H21" s="98">
        <f>IFERROR(IF(VLOOKUP($A21,'Annex 2 EHV charges'!$A:$O,11,FALSE)=0,"",VLOOKUP($A21,'Annex 2 EHV charges'!$A:$O,11,FALSE)),"")</f>
        <v>2.88</v>
      </c>
    </row>
    <row r="22" spans="1:8" ht="12.75" customHeight="1" x14ac:dyDescent="0.2">
      <c r="A22" s="91" t="str">
        <f t="array" ref="A22">IFERROR(INDEX('Annex 2 EHV charges'!$A$10:$A$259, MATCH(0, IF(ISBLANK('Annex 2 EHV charges'!$A$10:$A$259),1, COUNTIF(A$4:$A21, 'Annex 2 EHV charges'!$A$10:$A$259)), 0)),"")</f>
        <v>NR_DOR</v>
      </c>
      <c r="B22" s="91">
        <f>IF($A22="","",VLOOKUP($A22,'Annex 2 EHV charges'!$A:$O,2,0))</f>
        <v>856</v>
      </c>
      <c r="C22" s="92">
        <f>IF($A22="","",VLOOKUP($A22,'Annex 2 EHV charges'!$A:$O,3,0))</f>
        <v>1900060219303</v>
      </c>
      <c r="D22" s="91" t="str">
        <f>IF($A22="","",VLOOKUP($A22,'Annex 2 EHV charges'!$A:$O,7,0))</f>
        <v>NR_DOR</v>
      </c>
      <c r="E22" s="96">
        <f>IFERROR(IF(VLOOKUP($A22,'Annex 2 EHV charges'!$A:$O,8,FALSE)=0,"",VLOOKUP($A22,'Annex 2 EHV charges'!$A:$O,8,FALSE)),"")</f>
        <v>2.343</v>
      </c>
      <c r="F22" s="97">
        <f>IFERROR(IF(VLOOKUP($A22,'Annex 2 EHV charges'!$A:$O,9,FALSE)=0,"",VLOOKUP($A22,'Annex 2 EHV charges'!$A:$O,9,FALSE)),"")</f>
        <v>627.76</v>
      </c>
      <c r="G22" s="98">
        <f>IFERROR(IF(VLOOKUP($A22,'Annex 2 EHV charges'!$A:$O,10,FALSE)=0,"",VLOOKUP($A22,'Annex 2 EHV charges'!$A:$O,10,FALSE)),"")</f>
        <v>3.19</v>
      </c>
      <c r="H22" s="98">
        <f>IFERROR(IF(VLOOKUP($A22,'Annex 2 EHV charges'!$A:$O,11,FALSE)=0,"",VLOOKUP($A22,'Annex 2 EHV charges'!$A:$O,11,FALSE)),"")</f>
        <v>3.19</v>
      </c>
    </row>
    <row r="23" spans="1:8" ht="12.75" customHeight="1" x14ac:dyDescent="0.2">
      <c r="A23" s="91" t="str">
        <f t="array" ref="A23">IFERROR(INDEX('Annex 2 EHV charges'!$A$10:$A$259, MATCH(0, IF(ISBLANK('Annex 2 EHV charges'!$A$10:$A$259),1, COUNTIF(A$4:$A22, 'Annex 2 EHV charges'!$A$10:$A$259)), 0)),"")</f>
        <v>NR_EAS</v>
      </c>
      <c r="B23" s="91">
        <f>IF($A23="","",VLOOKUP($A23,'Annex 2 EHV charges'!$A:$O,2,0))</f>
        <v>857</v>
      </c>
      <c r="C23" s="92">
        <f>IF($A23="","",VLOOKUP($A23,'Annex 2 EHV charges'!$A:$O,3,0))</f>
        <v>1900060218912</v>
      </c>
      <c r="D23" s="91" t="str">
        <f>IF($A23="","",VLOOKUP($A23,'Annex 2 EHV charges'!$A:$O,7,0))</f>
        <v>NR_EAS</v>
      </c>
      <c r="E23" s="96">
        <f>IFERROR(IF(VLOOKUP($A23,'Annex 2 EHV charges'!$A:$O,8,FALSE)=0,"",VLOOKUP($A23,'Annex 2 EHV charges'!$A:$O,8,FALSE)),"")</f>
        <v>3.464</v>
      </c>
      <c r="F23" s="97">
        <f>IFERROR(IF(VLOOKUP($A23,'Annex 2 EHV charges'!$A:$O,9,FALSE)=0,"",VLOOKUP($A23,'Annex 2 EHV charges'!$A:$O,9,FALSE)),"")</f>
        <v>627.76</v>
      </c>
      <c r="G23" s="98">
        <f>IFERROR(IF(VLOOKUP($A23,'Annex 2 EHV charges'!$A:$O,10,FALSE)=0,"",VLOOKUP($A23,'Annex 2 EHV charges'!$A:$O,10,FALSE)),"")</f>
        <v>3.86</v>
      </c>
      <c r="H23" s="98">
        <f>IFERROR(IF(VLOOKUP($A23,'Annex 2 EHV charges'!$A:$O,11,FALSE)=0,"",VLOOKUP($A23,'Annex 2 EHV charges'!$A:$O,11,FALSE)),"")</f>
        <v>3.86</v>
      </c>
    </row>
    <row r="24" spans="1:8" ht="12.75" customHeight="1" x14ac:dyDescent="0.2">
      <c r="A24" s="91" t="str">
        <f t="array" ref="A24">IFERROR(INDEX('Annex 2 EHV charges'!$A$10:$A$259, MATCH(0, IF(ISBLANK('Annex 2 EHV charges'!$A$10:$A$259),1, COUNTIF(A$4:$A23, 'Annex 2 EHV charges'!$A$10:$A$259)), 0)),"")</f>
        <v>NR_FOK</v>
      </c>
      <c r="B24" s="91">
        <f>IF($A24="","",VLOOKUP($A24,'Annex 2 EHV charges'!$A:$O,2,0))</f>
        <v>858</v>
      </c>
      <c r="C24" s="92">
        <f>IF($A24="","",VLOOKUP($A24,'Annex 2 EHV charges'!$A:$O,3,0))</f>
        <v>1900060218959</v>
      </c>
      <c r="D24" s="91" t="str">
        <f>IF($A24="","",VLOOKUP($A24,'Annex 2 EHV charges'!$A:$O,7,0))</f>
        <v>NR_FOK</v>
      </c>
      <c r="E24" s="96">
        <f>IFERROR(IF(VLOOKUP($A24,'Annex 2 EHV charges'!$A:$O,8,FALSE)=0,"",VLOOKUP($A24,'Annex 2 EHV charges'!$A:$O,8,FALSE)),"")</f>
        <v>0.10199999999999999</v>
      </c>
      <c r="F24" s="97">
        <f>IFERROR(IF(VLOOKUP($A24,'Annex 2 EHV charges'!$A:$O,9,FALSE)=0,"",VLOOKUP($A24,'Annex 2 EHV charges'!$A:$O,9,FALSE)),"")</f>
        <v>627.76</v>
      </c>
      <c r="G24" s="98">
        <f>IFERROR(IF(VLOOKUP($A24,'Annex 2 EHV charges'!$A:$O,10,FALSE)=0,"",VLOOKUP($A24,'Annex 2 EHV charges'!$A:$O,10,FALSE)),"")</f>
        <v>3.01</v>
      </c>
      <c r="H24" s="98">
        <f>IFERROR(IF(VLOOKUP($A24,'Annex 2 EHV charges'!$A:$O,11,FALSE)=0,"",VLOOKUP($A24,'Annex 2 EHV charges'!$A:$O,11,FALSE)),"")</f>
        <v>3.01</v>
      </c>
    </row>
    <row r="25" spans="1:8" ht="12.75" customHeight="1" x14ac:dyDescent="0.2">
      <c r="A25" s="91" t="str">
        <f t="array" ref="A25">IFERROR(INDEX('Annex 2 EHV charges'!$A$10:$A$259, MATCH(0, IF(ISBLANK('Annex 2 EHV charges'!$A$10:$A$259),1, COUNTIF(A$4:$A24, 'Annex 2 EHV charges'!$A$10:$A$259)), 0)),"")</f>
        <v>NR_HAS</v>
      </c>
      <c r="B25" s="91">
        <f>IF($A25="","",VLOOKUP($A25,'Annex 2 EHV charges'!$A:$O,2,0))</f>
        <v>859</v>
      </c>
      <c r="C25" s="92">
        <f>IF($A25="","",VLOOKUP($A25,'Annex 2 EHV charges'!$A:$O,3,0))</f>
        <v>1900060218986</v>
      </c>
      <c r="D25" s="91" t="str">
        <f>IF($A25="","",VLOOKUP($A25,'Annex 2 EHV charges'!$A:$O,7,0))</f>
        <v>NR_HAS</v>
      </c>
      <c r="E25" s="96">
        <f>IFERROR(IF(VLOOKUP($A25,'Annex 2 EHV charges'!$A:$O,8,FALSE)=0,"",VLOOKUP($A25,'Annex 2 EHV charges'!$A:$O,8,FALSE)),"")</f>
        <v>0.26700000000000002</v>
      </c>
      <c r="F25" s="97">
        <f>IFERROR(IF(VLOOKUP($A25,'Annex 2 EHV charges'!$A:$O,9,FALSE)=0,"",VLOOKUP($A25,'Annex 2 EHV charges'!$A:$O,9,FALSE)),"")</f>
        <v>3900.36</v>
      </c>
      <c r="G25" s="98">
        <f>IFERROR(IF(VLOOKUP($A25,'Annex 2 EHV charges'!$A:$O,10,FALSE)=0,"",VLOOKUP($A25,'Annex 2 EHV charges'!$A:$O,10,FALSE)),"")</f>
        <v>3.64</v>
      </c>
      <c r="H25" s="98">
        <f>IFERROR(IF(VLOOKUP($A25,'Annex 2 EHV charges'!$A:$O,11,FALSE)=0,"",VLOOKUP($A25,'Annex 2 EHV charges'!$A:$O,11,FALSE)),"")</f>
        <v>3.64</v>
      </c>
    </row>
    <row r="26" spans="1:8" ht="12.75" customHeight="1" x14ac:dyDescent="0.2">
      <c r="A26" s="91" t="str">
        <f t="array" ref="A26">IFERROR(INDEX('Annex 2 EHV charges'!$A$10:$A$259, MATCH(0, IF(ISBLANK('Annex 2 EHV charges'!$A$10:$A$259),1, COUNTIF(A$4:$A25, 'Annex 2 EHV charges'!$A$10:$A$259)), 0)),"")</f>
        <v>NR_LEA</v>
      </c>
      <c r="B26" s="91">
        <f>IF($A26="","",VLOOKUP($A26,'Annex 2 EHV charges'!$A:$O,2,0))</f>
        <v>860</v>
      </c>
      <c r="C26" s="92">
        <f>IF($A26="","",VLOOKUP($A26,'Annex 2 EHV charges'!$A:$O,3,0))</f>
        <v>1900060219001</v>
      </c>
      <c r="D26" s="91" t="str">
        <f>IF($A26="","",VLOOKUP($A26,'Annex 2 EHV charges'!$A:$O,7,0))</f>
        <v>NR_LEA</v>
      </c>
      <c r="E26" s="96">
        <f>IFERROR(IF(VLOOKUP($A26,'Annex 2 EHV charges'!$A:$O,8,FALSE)=0,"",VLOOKUP($A26,'Annex 2 EHV charges'!$A:$O,8,FALSE)),"")</f>
        <v>2.105</v>
      </c>
      <c r="F26" s="97">
        <f>IFERROR(IF(VLOOKUP($A26,'Annex 2 EHV charges'!$A:$O,9,FALSE)=0,"",VLOOKUP($A26,'Annex 2 EHV charges'!$A:$O,9,FALSE)),"")</f>
        <v>627.76</v>
      </c>
      <c r="G26" s="98">
        <f>IFERROR(IF(VLOOKUP($A26,'Annex 2 EHV charges'!$A:$O,10,FALSE)=0,"",VLOOKUP($A26,'Annex 2 EHV charges'!$A:$O,10,FALSE)),"")</f>
        <v>3.75</v>
      </c>
      <c r="H26" s="98">
        <f>IFERROR(IF(VLOOKUP($A26,'Annex 2 EHV charges'!$A:$O,11,FALSE)=0,"",VLOOKUP($A26,'Annex 2 EHV charges'!$A:$O,11,FALSE)),"")</f>
        <v>3.75</v>
      </c>
    </row>
    <row r="27" spans="1:8" ht="12.75" customHeight="1" x14ac:dyDescent="0.2">
      <c r="A27" s="91" t="str">
        <f t="array" ref="A27">IFERROR(INDEX('Annex 2 EHV charges'!$A$10:$A$259, MATCH(0, IF(ISBLANK('Annex 2 EHV charges'!$A$10:$A$259),1, COUNTIF(A$4:$A26, 'Annex 2 EHV charges'!$A$10:$A$259)), 0)),"")</f>
        <v>NR_MAI</v>
      </c>
      <c r="B27" s="91">
        <f>IF($A27="","",VLOOKUP($A27,'Annex 2 EHV charges'!$A:$O,2,0))</f>
        <v>861</v>
      </c>
      <c r="C27" s="92">
        <f>IF($A27="","",VLOOKUP($A27,'Annex 2 EHV charges'!$A:$O,3,0))</f>
        <v>1900060219535</v>
      </c>
      <c r="D27" s="91" t="str">
        <f>IF($A27="","",VLOOKUP($A27,'Annex 2 EHV charges'!$A:$O,7,0))</f>
        <v>NR_MAI</v>
      </c>
      <c r="E27" s="96">
        <f>IFERROR(IF(VLOOKUP($A27,'Annex 2 EHV charges'!$A:$O,8,FALSE)=0,"",VLOOKUP($A27,'Annex 2 EHV charges'!$A:$O,8,FALSE)),"")</f>
        <v>6.9960000000000004</v>
      </c>
      <c r="F27" s="97">
        <f>IFERROR(IF(VLOOKUP($A27,'Annex 2 EHV charges'!$A:$O,9,FALSE)=0,"",VLOOKUP($A27,'Annex 2 EHV charges'!$A:$O,9,FALSE)),"")</f>
        <v>627.76</v>
      </c>
      <c r="G27" s="98">
        <f>IFERROR(IF(VLOOKUP($A27,'Annex 2 EHV charges'!$A:$O,10,FALSE)=0,"",VLOOKUP($A27,'Annex 2 EHV charges'!$A:$O,10,FALSE)),"")</f>
        <v>3.88</v>
      </c>
      <c r="H27" s="98">
        <f>IFERROR(IF(VLOOKUP($A27,'Annex 2 EHV charges'!$A:$O,11,FALSE)=0,"",VLOOKUP($A27,'Annex 2 EHV charges'!$A:$O,11,FALSE)),"")</f>
        <v>3.88</v>
      </c>
    </row>
    <row r="28" spans="1:8" ht="12.75" customHeight="1" x14ac:dyDescent="0.2">
      <c r="A28" s="91" t="str">
        <f t="array" ref="A28">IFERROR(INDEX('Annex 2 EHV charges'!$A$10:$A$259, MATCH(0, IF(ISBLANK('Annex 2 EHV charges'!$A$10:$A$259),1, COUNTIF(A$4:$A27, 'Annex 2 EHV charges'!$A$10:$A$259)), 0)),"")</f>
        <v>NR_NOR</v>
      </c>
      <c r="B28" s="91">
        <f>IF($A28="","",VLOOKUP($A28,'Annex 2 EHV charges'!$A:$O,2,0))</f>
        <v>862</v>
      </c>
      <c r="C28" s="92">
        <f>IF($A28="","",VLOOKUP($A28,'Annex 2 EHV charges'!$A:$O,3,0))</f>
        <v>1900060219891</v>
      </c>
      <c r="D28" s="91" t="str">
        <f>IF($A28="","",VLOOKUP($A28,'Annex 2 EHV charges'!$A:$O,7,0))</f>
        <v>NR_NOR</v>
      </c>
      <c r="E28" s="96">
        <f>IFERROR(IF(VLOOKUP($A28,'Annex 2 EHV charges'!$A:$O,8,FALSE)=0,"",VLOOKUP($A28,'Annex 2 EHV charges'!$A:$O,8,FALSE)),"")</f>
        <v>0.19</v>
      </c>
      <c r="F28" s="97">
        <f>IFERROR(IF(VLOOKUP($A28,'Annex 2 EHV charges'!$A:$O,9,FALSE)=0,"",VLOOKUP($A28,'Annex 2 EHV charges'!$A:$O,9,FALSE)),"")</f>
        <v>1255.51</v>
      </c>
      <c r="G28" s="98">
        <f>IFERROR(IF(VLOOKUP($A28,'Annex 2 EHV charges'!$A:$O,10,FALSE)=0,"",VLOOKUP($A28,'Annex 2 EHV charges'!$A:$O,10,FALSE)),"")</f>
        <v>1.85</v>
      </c>
      <c r="H28" s="98">
        <f>IFERROR(IF(VLOOKUP($A28,'Annex 2 EHV charges'!$A:$O,11,FALSE)=0,"",VLOOKUP($A28,'Annex 2 EHV charges'!$A:$O,11,FALSE)),"")</f>
        <v>1.85</v>
      </c>
    </row>
    <row r="29" spans="1:8" ht="12.75" customHeight="1" x14ac:dyDescent="0.2">
      <c r="A29" s="91" t="str">
        <f t="array" ref="A29">IFERROR(INDEX('Annex 2 EHV charges'!$A$10:$A$259, MATCH(0, IF(ISBLANK('Annex 2 EHV charges'!$A$10:$A$259),1, COUNTIF(A$4:$A28, 'Annex 2 EHV charges'!$A$10:$A$259)), 0)),"")</f>
        <v>NR_QUE</v>
      </c>
      <c r="B29" s="91">
        <f>IF($A29="","",VLOOKUP($A29,'Annex 2 EHV charges'!$A:$O,2,0))</f>
        <v>863</v>
      </c>
      <c r="C29" s="92">
        <f>IF($A29="","",VLOOKUP($A29,'Annex 2 EHV charges'!$A:$O,3,0))</f>
        <v>1900060219084</v>
      </c>
      <c r="D29" s="91" t="str">
        <f>IF($A29="","",VLOOKUP($A29,'Annex 2 EHV charges'!$A:$O,7,0))</f>
        <v>NR_QUE</v>
      </c>
      <c r="E29" s="96" t="str">
        <f>IFERROR(IF(VLOOKUP($A29,'Annex 2 EHV charges'!$A:$O,8,FALSE)=0,"",VLOOKUP($A29,'Annex 2 EHV charges'!$A:$O,8,FALSE)),"")</f>
        <v/>
      </c>
      <c r="F29" s="97">
        <f>IFERROR(IF(VLOOKUP($A29,'Annex 2 EHV charges'!$A:$O,9,FALSE)=0,"",VLOOKUP($A29,'Annex 2 EHV charges'!$A:$O,9,FALSE)),"")</f>
        <v>329.74</v>
      </c>
      <c r="G29" s="98">
        <f>IFERROR(IF(VLOOKUP($A29,'Annex 2 EHV charges'!$A:$O,10,FALSE)=0,"",VLOOKUP($A29,'Annex 2 EHV charges'!$A:$O,10,FALSE)),"")</f>
        <v>3.27</v>
      </c>
      <c r="H29" s="98">
        <f>IFERROR(IF(VLOOKUP($A29,'Annex 2 EHV charges'!$A:$O,11,FALSE)=0,"",VLOOKUP($A29,'Annex 2 EHV charges'!$A:$O,11,FALSE)),"")</f>
        <v>3.27</v>
      </c>
    </row>
    <row r="30" spans="1:8" ht="12.75" customHeight="1" x14ac:dyDescent="0.2">
      <c r="A30" s="91" t="str">
        <f t="array" ref="A30">IFERROR(INDEX('Annex 2 EHV charges'!$A$10:$A$259, MATCH(0, IF(ISBLANK('Annex 2 EHV charges'!$A$10:$A$259),1, COUNTIF(A$4:$A29, 'Annex 2 EHV charges'!$A$10:$A$259)), 0)),"")</f>
        <v>NR_SIT</v>
      </c>
      <c r="B30" s="91">
        <f>IF($A30="","",VLOOKUP($A30,'Annex 2 EHV charges'!$A:$O,2,0))</f>
        <v>864</v>
      </c>
      <c r="C30" s="92" t="str">
        <f>IF($A30="","",VLOOKUP($A30,'Annex 2 EHV charges'!$A:$O,3,0))</f>
        <v>1900060219819
1900060219855</v>
      </c>
      <c r="D30" s="91" t="str">
        <f>IF($A30="","",VLOOKUP($A30,'Annex 2 EHV charges'!$A:$O,7,0))</f>
        <v>NR_SIT</v>
      </c>
      <c r="E30" s="96">
        <f>IFERROR(IF(VLOOKUP($A30,'Annex 2 EHV charges'!$A:$O,8,FALSE)=0,"",VLOOKUP($A30,'Annex 2 EHV charges'!$A:$O,8,FALSE)),"")</f>
        <v>2E-3</v>
      </c>
      <c r="F30" s="97">
        <f>IFERROR(IF(VLOOKUP($A30,'Annex 2 EHV charges'!$A:$O,9,FALSE)=0,"",VLOOKUP($A30,'Annex 2 EHV charges'!$A:$O,9,FALSE)),"")</f>
        <v>627.76</v>
      </c>
      <c r="G30" s="98">
        <f>IFERROR(IF(VLOOKUP($A30,'Annex 2 EHV charges'!$A:$O,10,FALSE)=0,"",VLOOKUP($A30,'Annex 2 EHV charges'!$A:$O,10,FALSE)),"")</f>
        <v>1.64</v>
      </c>
      <c r="H30" s="98">
        <f>IFERROR(IF(VLOOKUP($A30,'Annex 2 EHV charges'!$A:$O,11,FALSE)=0,"",VLOOKUP($A30,'Annex 2 EHV charges'!$A:$O,11,FALSE)),"")</f>
        <v>1.64</v>
      </c>
    </row>
    <row r="31" spans="1:8" ht="12.75" customHeight="1" x14ac:dyDescent="0.2">
      <c r="A31" s="91" t="str">
        <f t="array" ref="A31">IFERROR(INDEX('Annex 2 EHV charges'!$A$10:$A$259, MATCH(0, IF(ISBLANK('Annex 2 EHV charges'!$A$10:$A$259),1, COUNTIF(A$4:$A30, 'Annex 2 EHV charges'!$A$10:$A$259)), 0)),"")</f>
        <v>NR_THA</v>
      </c>
      <c r="B31" s="91">
        <f>IF($A31="","",VLOOKUP($A31,'Annex 2 EHV charges'!$A:$O,2,0))</f>
        <v>865</v>
      </c>
      <c r="C31" s="92" t="str">
        <f>IF($A31="","",VLOOKUP($A31,'Annex 2 EHV charges'!$A:$O,3,0))</f>
        <v>1900060219720
1900060219794</v>
      </c>
      <c r="D31" s="91" t="str">
        <f>IF($A31="","",VLOOKUP($A31,'Annex 2 EHV charges'!$A:$O,7,0))</f>
        <v>NR_THA</v>
      </c>
      <c r="E31" s="96">
        <f>IFERROR(IF(VLOOKUP($A31,'Annex 2 EHV charges'!$A:$O,8,FALSE)=0,"",VLOOKUP($A31,'Annex 2 EHV charges'!$A:$O,8,FALSE)),"")</f>
        <v>0.73199999999999998</v>
      </c>
      <c r="F31" s="97">
        <f>IFERROR(IF(VLOOKUP($A31,'Annex 2 EHV charges'!$A:$O,9,FALSE)=0,"",VLOOKUP($A31,'Annex 2 EHV charges'!$A:$O,9,FALSE)),"")</f>
        <v>627.76</v>
      </c>
      <c r="G31" s="98">
        <f>IFERROR(IF(VLOOKUP($A31,'Annex 2 EHV charges'!$A:$O,10,FALSE)=0,"",VLOOKUP($A31,'Annex 2 EHV charges'!$A:$O,10,FALSE)),"")</f>
        <v>4.0999999999999996</v>
      </c>
      <c r="H31" s="98">
        <f>IFERROR(IF(VLOOKUP($A31,'Annex 2 EHV charges'!$A:$O,11,FALSE)=0,"",VLOOKUP($A31,'Annex 2 EHV charges'!$A:$O,11,FALSE)),"")</f>
        <v>4.0999999999999996</v>
      </c>
    </row>
    <row r="32" spans="1:8" ht="12.75" customHeight="1" x14ac:dyDescent="0.2">
      <c r="A32" s="91" t="str">
        <f t="array" ref="A32">IFERROR(INDEX('Annex 2 EHV charges'!$A$10:$A$259, MATCH(0, IF(ISBLANK('Annex 2 EHV charges'!$A$10:$A$259),1, COUNTIF(A$4:$A31, 'Annex 2 EHV charges'!$A$10:$A$259)), 0)),"")</f>
        <v>NR_TUN</v>
      </c>
      <c r="B32" s="91">
        <f>IF($A32="","",VLOOKUP($A32,'Annex 2 EHV charges'!$A:$O,2,0))</f>
        <v>867</v>
      </c>
      <c r="C32" s="92">
        <f>IF($A32="","",VLOOKUP($A32,'Annex 2 EHV charges'!$A:$O,3,0))</f>
        <v>1900060219206</v>
      </c>
      <c r="D32" s="91" t="str">
        <f>IF($A32="","",VLOOKUP($A32,'Annex 2 EHV charges'!$A:$O,7,0))</f>
        <v>NR_TUN</v>
      </c>
      <c r="E32" s="96">
        <f>IFERROR(IF(VLOOKUP($A32,'Annex 2 EHV charges'!$A:$O,8,FALSE)=0,"",VLOOKUP($A32,'Annex 2 EHV charges'!$A:$O,8,FALSE)),"")</f>
        <v>1.17</v>
      </c>
      <c r="F32" s="97">
        <f>IFERROR(IF(VLOOKUP($A32,'Annex 2 EHV charges'!$A:$O,9,FALSE)=0,"",VLOOKUP($A32,'Annex 2 EHV charges'!$A:$O,9,FALSE)),"")</f>
        <v>627.76</v>
      </c>
      <c r="G32" s="98">
        <f>IFERROR(IF(VLOOKUP($A32,'Annex 2 EHV charges'!$A:$O,10,FALSE)=0,"",VLOOKUP($A32,'Annex 2 EHV charges'!$A:$O,10,FALSE)),"")</f>
        <v>2.9</v>
      </c>
      <c r="H32" s="98">
        <f>IFERROR(IF(VLOOKUP($A32,'Annex 2 EHV charges'!$A:$O,11,FALSE)=0,"",VLOOKUP($A32,'Annex 2 EHV charges'!$A:$O,11,FALSE)),"")</f>
        <v>2.9</v>
      </c>
    </row>
    <row r="33" spans="1:8" ht="12.75" customHeight="1" x14ac:dyDescent="0.2">
      <c r="A33" s="91" t="str">
        <f t="array" ref="A33">IFERROR(INDEX('Annex 2 EHV charges'!$A$10:$A$259, MATCH(0, IF(ISBLANK('Annex 2 EHV charges'!$A$10:$A$259),1, COUNTIF(A$4:$A32, 'Annex 2 EHV charges'!$A$10:$A$259)), 0)),"")</f>
        <v>PFIZER</v>
      </c>
      <c r="B33" s="91">
        <f>IF($A33="","",VLOOKUP($A33,'Annex 2 EHV charges'!$A:$O,2,0))</f>
        <v>881</v>
      </c>
      <c r="C33" s="92">
        <f>IF($A33="","",VLOOKUP($A33,'Annex 2 EHV charges'!$A:$O,3,0))</f>
        <v>1900060219544</v>
      </c>
      <c r="D33" s="91" t="str">
        <f>IF($A33="","",VLOOKUP($A33,'Annex 2 EHV charges'!$A:$O,7,0))</f>
        <v>PFIZER</v>
      </c>
      <c r="E33" s="96">
        <f>IFERROR(IF(VLOOKUP($A33,'Annex 2 EHV charges'!$A:$O,8,FALSE)=0,"",VLOOKUP($A33,'Annex 2 EHV charges'!$A:$O,8,FALSE)),"")</f>
        <v>0.14199999999999999</v>
      </c>
      <c r="F33" s="97">
        <f>IFERROR(IF(VLOOKUP($A33,'Annex 2 EHV charges'!$A:$O,9,FALSE)=0,"",VLOOKUP($A33,'Annex 2 EHV charges'!$A:$O,9,FALSE)),"")</f>
        <v>2082.9</v>
      </c>
      <c r="G33" s="98">
        <f>IFERROR(IF(VLOOKUP($A33,'Annex 2 EHV charges'!$A:$O,10,FALSE)=0,"",VLOOKUP($A33,'Annex 2 EHV charges'!$A:$O,10,FALSE)),"")</f>
        <v>1.06</v>
      </c>
      <c r="H33" s="98">
        <f>IFERROR(IF(VLOOKUP($A33,'Annex 2 EHV charges'!$A:$O,11,FALSE)=0,"",VLOOKUP($A33,'Annex 2 EHV charges'!$A:$O,11,FALSE)),"")</f>
        <v>1.06</v>
      </c>
    </row>
    <row r="34" spans="1:8" ht="12.75" customHeight="1" x14ac:dyDescent="0.2">
      <c r="A34" s="91" t="str">
        <f t="array" ref="A34">IFERROR(INDEX('Annex 2 EHV charges'!$A$10:$A$259, MATCH(0, IF(ISBLANK('Annex 2 EHV charges'!$A$10:$A$259),1, COUNTIF(A$4:$A33, 'Annex 2 EHV charges'!$A$10:$A$259)), 0)),"")</f>
        <v>SENTIV</v>
      </c>
      <c r="B34" s="91">
        <f>IF($A34="","",VLOOKUP($A34,'Annex 2 EHV charges'!$A:$O,2,0))</f>
        <v>888</v>
      </c>
      <c r="C34" s="92" t="str">
        <f>IF($A34="","",VLOOKUP($A34,'Annex 2 EHV charges'!$A:$O,3,0))</f>
        <v>1900090497281
1900090497290
1900090497306
1900090497315</v>
      </c>
      <c r="D34" s="91" t="str">
        <f>IF($A34="","",VLOOKUP($A34,'Annex 2 EHV charges'!$A:$O,7,0))</f>
        <v>SENTIV</v>
      </c>
      <c r="E34" s="96">
        <f>IFERROR(IF(VLOOKUP($A34,'Annex 2 EHV charges'!$A:$O,8,FALSE)=0,"",VLOOKUP($A34,'Annex 2 EHV charges'!$A:$O,8,FALSE)),"")</f>
        <v>5.0000000000000001E-3</v>
      </c>
      <c r="F34" s="97">
        <f>IFERROR(IF(VLOOKUP($A34,'Annex 2 EHV charges'!$A:$O,9,FALSE)=0,"",VLOOKUP($A34,'Annex 2 EHV charges'!$A:$O,9,FALSE)),"")</f>
        <v>68659.259999999995</v>
      </c>
      <c r="G34" s="98">
        <f>IFERROR(IF(VLOOKUP($A34,'Annex 2 EHV charges'!$A:$O,10,FALSE)=0,"",VLOOKUP($A34,'Annex 2 EHV charges'!$A:$O,10,FALSE)),"")</f>
        <v>1.42</v>
      </c>
      <c r="H34" s="98">
        <f>IFERROR(IF(VLOOKUP($A34,'Annex 2 EHV charges'!$A:$O,11,FALSE)=0,"",VLOOKUP($A34,'Annex 2 EHV charges'!$A:$O,11,FALSE)),"")</f>
        <v>1.42</v>
      </c>
    </row>
    <row r="35" spans="1:8" ht="12.75" customHeight="1" x14ac:dyDescent="0.2">
      <c r="A35" s="91" t="str">
        <f t="array" ref="A35">IFERROR(INDEX('Annex 2 EHV charges'!$A$10:$A$259, MATCH(0, IF(ISBLANK('Annex 2 EHV charges'!$A$10:$A$259),1, COUNTIF(A$4:$A34, 'Annex 2 EHV charges'!$A$10:$A$259)), 0)),"")</f>
        <v>THAMEM</v>
      </c>
      <c r="B35" s="91">
        <f>IF($A35="","",VLOOKUP($A35,'Annex 2 EHV charges'!$A:$O,2,0))</f>
        <v>838</v>
      </c>
      <c r="C35" s="92" t="str">
        <f>IF($A35="","",VLOOKUP($A35,'Annex 2 EHV charges'!$A:$O,3,0))</f>
        <v>1900090872672
1900090872681</v>
      </c>
      <c r="D35" s="91" t="str">
        <f>IF($A35="","",VLOOKUP($A35,'Annex 2 EHV charges'!$A:$O,7,0))</f>
        <v>THAMEM</v>
      </c>
      <c r="E35" s="96" t="str">
        <f>IFERROR(IF(VLOOKUP($A35,'Annex 2 EHV charges'!$A:$O,8,FALSE)=0,"",VLOOKUP($A35,'Annex 2 EHV charges'!$A:$O,8,FALSE)),"")</f>
        <v/>
      </c>
      <c r="F35" s="97">
        <f>IFERROR(IF(VLOOKUP($A35,'Annex 2 EHV charges'!$A:$O,9,FALSE)=0,"",VLOOKUP($A35,'Annex 2 EHV charges'!$A:$O,9,FALSE)),"")</f>
        <v>3839.52</v>
      </c>
      <c r="G35" s="98">
        <f>IFERROR(IF(VLOOKUP($A35,'Annex 2 EHV charges'!$A:$O,10,FALSE)=0,"",VLOOKUP($A35,'Annex 2 EHV charges'!$A:$O,10,FALSE)),"")</f>
        <v>2.2599999999999998</v>
      </c>
      <c r="H35" s="98">
        <f>IFERROR(IF(VLOOKUP($A35,'Annex 2 EHV charges'!$A:$O,11,FALSE)=0,"",VLOOKUP($A35,'Annex 2 EHV charges'!$A:$O,11,FALSE)),"")</f>
        <v>2.2599999999999998</v>
      </c>
    </row>
    <row r="36" spans="1:8" ht="12.75" customHeight="1" x14ac:dyDescent="0.2">
      <c r="A36" s="91" t="str">
        <f t="array" ref="A36">IFERROR(INDEX('Annex 2 EHV charges'!$A$10:$A$259, MATCH(0, IF(ISBLANK('Annex 2 EHV charges'!$A$10:$A$259),1, COUNTIF(A$4:$A35, 'Annex 2 EHV charges'!$A$10:$A$259)), 0)),"")</f>
        <v>THAMES</v>
      </c>
      <c r="B36" s="91">
        <f>IF($A36="","",VLOOKUP($A36,'Annex 2 EHV charges'!$A:$O,2,0))</f>
        <v>884</v>
      </c>
      <c r="C36" s="92">
        <f>IF($A36="","",VLOOKUP($A36,'Annex 2 EHV charges'!$A:$O,3,0))</f>
        <v>1900016424857</v>
      </c>
      <c r="D36" s="91" t="str">
        <f>IF($A36="","",VLOOKUP($A36,'Annex 2 EHV charges'!$A:$O,7,0))</f>
        <v>THAMES</v>
      </c>
      <c r="E36" s="96" t="str">
        <f>IFERROR(IF(VLOOKUP($A36,'Annex 2 EHV charges'!$A:$O,8,FALSE)=0,"",VLOOKUP($A36,'Annex 2 EHV charges'!$A:$O,8,FALSE)),"")</f>
        <v/>
      </c>
      <c r="F36" s="97">
        <f>IFERROR(IF(VLOOKUP($A36,'Annex 2 EHV charges'!$A:$O,9,FALSE)=0,"",VLOOKUP($A36,'Annex 2 EHV charges'!$A:$O,9,FALSE)),"")</f>
        <v>2942.58</v>
      </c>
      <c r="G36" s="98">
        <f>IFERROR(IF(VLOOKUP($A36,'Annex 2 EHV charges'!$A:$O,10,FALSE)=0,"",VLOOKUP($A36,'Annex 2 EHV charges'!$A:$O,10,FALSE)),"")</f>
        <v>4.59</v>
      </c>
      <c r="H36" s="98">
        <f>IFERROR(IF(VLOOKUP($A36,'Annex 2 EHV charges'!$A:$O,11,FALSE)=0,"",VLOOKUP($A36,'Annex 2 EHV charges'!$A:$O,11,FALSE)),"")</f>
        <v>4.59</v>
      </c>
    </row>
    <row r="37" spans="1:8" ht="12.75" customHeight="1" x14ac:dyDescent="0.2">
      <c r="A37" s="91" t="str">
        <f t="array" ref="A37">IFERROR(INDEX('Annex 2 EHV charges'!$A$10:$A$259, MATCH(0, IF(ISBLANK('Annex 2 EHV charges'!$A$10:$A$259),1, COUNTIF(A$4:$A36, 'Annex 2 EHV charges'!$A$10:$A$259)), 0)),"")</f>
        <v>TWHK66</v>
      </c>
      <c r="B37" s="91">
        <f>IF($A37="","",VLOOKUP($A37,'Annex 2 EHV charges'!$A:$O,2,0))</f>
        <v>839</v>
      </c>
      <c r="C37" s="92">
        <f>IF($A37="","",VLOOKUP($A37,'Annex 2 EHV charges'!$A:$O,3,0))</f>
        <v>1900091206176</v>
      </c>
      <c r="D37" s="91" t="str">
        <f>IF($A37="","",VLOOKUP($A37,'Annex 2 EHV charges'!$A:$O,7,0))</f>
        <v>TWHK66</v>
      </c>
      <c r="E37" s="96">
        <f>IFERROR(IF(VLOOKUP($A37,'Annex 2 EHV charges'!$A:$O,8,FALSE)=0,"",VLOOKUP($A37,'Annex 2 EHV charges'!$A:$O,8,FALSE)),"")</f>
        <v>3.008</v>
      </c>
      <c r="F37" s="97">
        <f>IFERROR(IF(VLOOKUP($A37,'Annex 2 EHV charges'!$A:$O,9,FALSE)=0,"",VLOOKUP($A37,'Annex 2 EHV charges'!$A:$O,9,FALSE)),"")</f>
        <v>188.64</v>
      </c>
      <c r="G37" s="98">
        <f>IFERROR(IF(VLOOKUP($A37,'Annex 2 EHV charges'!$A:$O,10,FALSE)=0,"",VLOOKUP($A37,'Annex 2 EHV charges'!$A:$O,10,FALSE)),"")</f>
        <v>1.88</v>
      </c>
      <c r="H37" s="98">
        <f>IFERROR(IF(VLOOKUP($A37,'Annex 2 EHV charges'!$A:$O,11,FALSE)=0,"",VLOOKUP($A37,'Annex 2 EHV charges'!$A:$O,11,FALSE)),"")</f>
        <v>1.88</v>
      </c>
    </row>
    <row r="38" spans="1:8" ht="12.75" customHeight="1" x14ac:dyDescent="0.2">
      <c r="A38" s="91" t="str">
        <f t="array" ref="A38">IFERROR(INDEX('Annex 2 EHV charges'!$A$10:$A$259, MATCH(0, IF(ISBLANK('Annex 2 EHV charges'!$A$10:$A$259),1, COUNTIF(A$4:$A37, 'Annex 2 EHV charges'!$A$10:$A$259)), 0)),"")</f>
        <v>ASHBYS</v>
      </c>
      <c r="B38" s="91">
        <f>IF($A38="","",VLOOKUP($A38,'Annex 2 EHV charges'!$A:$O,2,0))</f>
        <v>809</v>
      </c>
      <c r="C38" s="92">
        <f>IF($A38="","",VLOOKUP($A38,'Annex 2 EHV charges'!$A:$O,3,0))</f>
        <v>1900091216963</v>
      </c>
      <c r="D38" s="91" t="str">
        <f>IF($A38="","",VLOOKUP($A38,'Annex 2 EHV charges'!$A:$O,7,0))</f>
        <v>ASHBYS</v>
      </c>
      <c r="E38" s="96">
        <f>IFERROR(IF(VLOOKUP($A38,'Annex 2 EHV charges'!$A:$O,8,FALSE)=0,"",VLOOKUP($A38,'Annex 2 EHV charges'!$A:$O,8,FALSE)),"")</f>
        <v>5.0999999999999997E-2</v>
      </c>
      <c r="F38" s="97">
        <f>IFERROR(IF(VLOOKUP($A38,'Annex 2 EHV charges'!$A:$O,9,FALSE)=0,"",VLOOKUP($A38,'Annex 2 EHV charges'!$A:$O,9,FALSE)),"")</f>
        <v>9.6300000000000008</v>
      </c>
      <c r="G38" s="98">
        <f>IFERROR(IF(VLOOKUP($A38,'Annex 2 EHV charges'!$A:$O,10,FALSE)=0,"",VLOOKUP($A38,'Annex 2 EHV charges'!$A:$O,10,FALSE)),"")</f>
        <v>4.22</v>
      </c>
      <c r="H38" s="98">
        <f>IFERROR(IF(VLOOKUP($A38,'Annex 2 EHV charges'!$A:$O,11,FALSE)=0,"",VLOOKUP($A38,'Annex 2 EHV charges'!$A:$O,11,FALSE)),"")</f>
        <v>4.22</v>
      </c>
    </row>
    <row r="39" spans="1:8" ht="12.75" customHeight="1" x14ac:dyDescent="0.2">
      <c r="A39" s="91" t="str">
        <f t="array" ref="A39">IFERROR(INDEX('Annex 2 EHV charges'!$A$10:$A$259, MATCH(0, IF(ISBLANK('Annex 2 EHV charges'!$A$10:$A$259),1, COUNTIF(A$4:$A38, 'Annex 2 EHV charges'!$A$10:$A$259)), 0)),"")</f>
        <v>ASHGEN</v>
      </c>
      <c r="B39" s="91">
        <f>IF($A39="","",VLOOKUP($A39,'Annex 2 EHV charges'!$A:$O,2,0))</f>
        <v>801</v>
      </c>
      <c r="C39" s="92">
        <f>IF($A39="","",VLOOKUP($A39,'Annex 2 EHV charges'!$A:$O,3,0))</f>
        <v>1900090978866</v>
      </c>
      <c r="D39" s="91" t="str">
        <f>IF($A39="","",VLOOKUP($A39,'Annex 2 EHV charges'!$A:$O,7,0))</f>
        <v>ASHGEN</v>
      </c>
      <c r="E39" s="96" t="str">
        <f>IFERROR(IF(VLOOKUP($A39,'Annex 2 EHV charges'!$A:$O,8,FALSE)=0,"",VLOOKUP($A39,'Annex 2 EHV charges'!$A:$O,8,FALSE)),"")</f>
        <v/>
      </c>
      <c r="F39" s="97">
        <f>IFERROR(IF(VLOOKUP($A39,'Annex 2 EHV charges'!$A:$O,9,FALSE)=0,"",VLOOKUP($A39,'Annex 2 EHV charges'!$A:$O,9,FALSE)),"")</f>
        <v>91.9</v>
      </c>
      <c r="G39" s="98">
        <f>IFERROR(IF(VLOOKUP($A39,'Annex 2 EHV charges'!$A:$O,10,FALSE)=0,"",VLOOKUP($A39,'Annex 2 EHV charges'!$A:$O,10,FALSE)),"")</f>
        <v>1.25</v>
      </c>
      <c r="H39" s="98">
        <f>IFERROR(IF(VLOOKUP($A39,'Annex 2 EHV charges'!$A:$O,11,FALSE)=0,"",VLOOKUP($A39,'Annex 2 EHV charges'!$A:$O,11,FALSE)),"")</f>
        <v>1.25</v>
      </c>
    </row>
    <row r="40" spans="1:8" ht="12.75" customHeight="1" x14ac:dyDescent="0.2">
      <c r="A40" s="91" t="str">
        <f t="array" ref="A40">IFERROR(INDEX('Annex 2 EHV charges'!$A$10:$A$259, MATCH(0, IF(ISBLANK('Annex 2 EHV charges'!$A$10:$A$259),1, COUNTIF(A$4:$A39, 'Annex 2 EHV charges'!$A$10:$A$259)), 0)),"")</f>
        <v>AYLESF</v>
      </c>
      <c r="B40" s="91">
        <f>IF($A40="","",VLOOKUP($A40,'Annex 2 EHV charges'!$A:$O,2,0))</f>
        <v>868</v>
      </c>
      <c r="C40" s="92">
        <f>IF($A40="","",VLOOKUP($A40,'Annex 2 EHV charges'!$A:$O,3,0))</f>
        <v>1900060216613</v>
      </c>
      <c r="D40" s="91" t="str">
        <f>IF($A40="","",VLOOKUP($A40,'Annex 2 EHV charges'!$A:$O,7,0))</f>
        <v>AYLESF</v>
      </c>
      <c r="E40" s="96" t="str">
        <f>IFERROR(IF(VLOOKUP($A40,'Annex 2 EHV charges'!$A:$O,8,FALSE)=0,"",VLOOKUP($A40,'Annex 2 EHV charges'!$A:$O,8,FALSE)),"")</f>
        <v/>
      </c>
      <c r="F40" s="97">
        <f>IFERROR(IF(VLOOKUP($A40,'Annex 2 EHV charges'!$A:$O,9,FALSE)=0,"",VLOOKUP($A40,'Annex 2 EHV charges'!$A:$O,9,FALSE)),"")</f>
        <v>313.88</v>
      </c>
      <c r="G40" s="98">
        <f>IFERROR(IF(VLOOKUP($A40,'Annex 2 EHV charges'!$A:$O,10,FALSE)=0,"",VLOOKUP($A40,'Annex 2 EHV charges'!$A:$O,10,FALSE)),"")</f>
        <v>0.87</v>
      </c>
      <c r="H40" s="98">
        <f>IFERROR(IF(VLOOKUP($A40,'Annex 2 EHV charges'!$A:$O,11,FALSE)=0,"",VLOOKUP($A40,'Annex 2 EHV charges'!$A:$O,11,FALSE)),"")</f>
        <v>0.87</v>
      </c>
    </row>
    <row r="41" spans="1:8" ht="12.75" customHeight="1" x14ac:dyDescent="0.2">
      <c r="A41" s="91" t="str">
        <f t="array" ref="A41">IFERROR(INDEX('Annex 2 EHV charges'!$A$10:$A$259, MATCH(0, IF(ISBLANK('Annex 2 EHV charges'!$A$10:$A$259),1, COUNTIF(A$4:$A40, 'Annex 2 EHV charges'!$A$10:$A$259)), 0)),"")</f>
        <v>BEDERF</v>
      </c>
      <c r="B41" s="91">
        <f>IF($A41="","",VLOOKUP($A41,'Annex 2 EHV charges'!$A:$O,2,0))</f>
        <v>840</v>
      </c>
      <c r="C41" s="92">
        <f>IF($A41="","",VLOOKUP($A41,'Annex 2 EHV charges'!$A:$O,3,0))</f>
        <v>1900091482588</v>
      </c>
      <c r="D41" s="91" t="str">
        <f>IF($A41="","",VLOOKUP($A41,'Annex 2 EHV charges'!$A:$O,7,0))</f>
        <v>BEDERF</v>
      </c>
      <c r="E41" s="96" t="str">
        <f>IFERROR(IF(VLOOKUP($A41,'Annex 2 EHV charges'!$A:$O,8,FALSE)=0,"",VLOOKUP($A41,'Annex 2 EHV charges'!$A:$O,8,FALSE)),"")</f>
        <v/>
      </c>
      <c r="F41" s="97">
        <f>IFERROR(IF(VLOOKUP($A41,'Annex 2 EHV charges'!$A:$O,9,FALSE)=0,"",VLOOKUP($A41,'Annex 2 EHV charges'!$A:$O,9,FALSE)),"")</f>
        <v>338.93</v>
      </c>
      <c r="G41" s="98">
        <f>IFERROR(IF(VLOOKUP($A41,'Annex 2 EHV charges'!$A:$O,10,FALSE)=0,"",VLOOKUP($A41,'Annex 2 EHV charges'!$A:$O,10,FALSE)),"")</f>
        <v>1.47</v>
      </c>
      <c r="H41" s="98">
        <f>IFERROR(IF(VLOOKUP($A41,'Annex 2 EHV charges'!$A:$O,11,FALSE)=0,"",VLOOKUP($A41,'Annex 2 EHV charges'!$A:$O,11,FALSE)),"")</f>
        <v>1.47</v>
      </c>
    </row>
    <row r="42" spans="1:8" ht="12.75" customHeight="1" x14ac:dyDescent="0.2">
      <c r="A42" s="91" t="str">
        <f t="array" ref="A42">IFERROR(INDEX('Annex 2 EHV charges'!$A$10:$A$259, MATCH(0, IF(ISBLANK('Annex 2 EHV charges'!$A$10:$A$259),1, COUNTIF(A$4:$A41, 'Annex 2 EHV charges'!$A$10:$A$259)), 0)),"")</f>
        <v>BESAYL</v>
      </c>
      <c r="B42" s="91">
        <f>IF($A42="","",VLOOKUP($A42,'Annex 2 EHV charges'!$A:$O,2,0))</f>
        <v>841</v>
      </c>
      <c r="C42" s="92">
        <f>IF($A42="","",VLOOKUP($A42,'Annex 2 EHV charges'!$A:$O,3,0))</f>
        <v>1900091632775</v>
      </c>
      <c r="D42" s="91" t="str">
        <f>IF($A42="","",VLOOKUP($A42,'Annex 2 EHV charges'!$A:$O,7,0))</f>
        <v>BESAYL</v>
      </c>
      <c r="E42" s="96">
        <f>IFERROR(IF(VLOOKUP($A42,'Annex 2 EHV charges'!$A:$O,8,FALSE)=0,"",VLOOKUP($A42,'Annex 2 EHV charges'!$A:$O,8,FALSE)),"")</f>
        <v>0.16800000000000001</v>
      </c>
      <c r="F42" s="97">
        <f>IFERROR(IF(VLOOKUP($A42,'Annex 2 EHV charges'!$A:$O,9,FALSE)=0,"",VLOOKUP($A42,'Annex 2 EHV charges'!$A:$O,9,FALSE)),"")</f>
        <v>345.61</v>
      </c>
      <c r="G42" s="98">
        <f>IFERROR(IF(VLOOKUP($A42,'Annex 2 EHV charges'!$A:$O,10,FALSE)=0,"",VLOOKUP($A42,'Annex 2 EHV charges'!$A:$O,10,FALSE)),"")</f>
        <v>0.9</v>
      </c>
      <c r="H42" s="98">
        <f>IFERROR(IF(VLOOKUP($A42,'Annex 2 EHV charges'!$A:$O,11,FALSE)=0,"",VLOOKUP($A42,'Annex 2 EHV charges'!$A:$O,11,FALSE)),"")</f>
        <v>0.9</v>
      </c>
    </row>
    <row r="43" spans="1:8" ht="12.75" customHeight="1" x14ac:dyDescent="0.2">
      <c r="A43" s="91" t="str">
        <f t="array" ref="A43">IFERROR(INDEX('Annex 2 EHV charges'!$A$10:$A$259, MATCH(0, IF(ISBLANK('Annex 2 EHV charges'!$A$10:$A$259),1, COUNTIF(A$4:$A42, 'Annex 2 EHV charges'!$A$10:$A$259)), 0)),"")</f>
        <v>BNTLEY</v>
      </c>
      <c r="B43" s="91">
        <f>IF($A43="","",VLOOKUP($A43,'Annex 2 EHV charges'!$A:$O,2,0))</f>
        <v>890</v>
      </c>
      <c r="C43" s="92">
        <f>IF($A43="","",VLOOKUP($A43,'Annex 2 EHV charges'!$A:$O,3,0))</f>
        <v>1900091343778</v>
      </c>
      <c r="D43" s="91" t="str">
        <f>IF($A43="","",VLOOKUP($A43,'Annex 2 EHV charges'!$A:$O,7,0))</f>
        <v>BNTLEY</v>
      </c>
      <c r="E43" s="96">
        <f>IFERROR(IF(VLOOKUP($A43,'Annex 2 EHV charges'!$A:$O,8,FALSE)=0,"",VLOOKUP($A43,'Annex 2 EHV charges'!$A:$O,8,FALSE)),"")</f>
        <v>9.2230000000000008</v>
      </c>
      <c r="F43" s="97">
        <f>IFERROR(IF(VLOOKUP($A43,'Annex 2 EHV charges'!$A:$O,9,FALSE)=0,"",VLOOKUP($A43,'Annex 2 EHV charges'!$A:$O,9,FALSE)),"")</f>
        <v>8.67</v>
      </c>
      <c r="G43" s="98">
        <f>IFERROR(IF(VLOOKUP($A43,'Annex 2 EHV charges'!$A:$O,10,FALSE)=0,"",VLOOKUP($A43,'Annex 2 EHV charges'!$A:$O,10,FALSE)),"")</f>
        <v>1.67</v>
      </c>
      <c r="H43" s="98">
        <f>IFERROR(IF(VLOOKUP($A43,'Annex 2 EHV charges'!$A:$O,11,FALSE)=0,"",VLOOKUP($A43,'Annex 2 EHV charges'!$A:$O,11,FALSE)),"")</f>
        <v>1.67</v>
      </c>
    </row>
    <row r="44" spans="1:8" ht="12.75" customHeight="1" x14ac:dyDescent="0.2">
      <c r="A44" s="91" t="str">
        <f t="array" ref="A44">IFERROR(INDEX('Annex 2 EHV charges'!$A$10:$A$259, MATCH(0, IF(ISBLANK('Annex 2 EHV charges'!$A$10:$A$259),1, COUNTIF(A$4:$A43, 'Annex 2 EHV charges'!$A$10:$A$259)), 0)),"")</f>
        <v>BNTLY2</v>
      </c>
      <c r="B44" s="91">
        <f>IF($A44="","",VLOOKUP($A44,'Annex 2 EHV charges'!$A:$O,2,0))</f>
        <v>830</v>
      </c>
      <c r="C44" s="92">
        <f>IF($A44="","",VLOOKUP($A44,'Annex 2 EHV charges'!$A:$O,3,0))</f>
        <v>1900091463646</v>
      </c>
      <c r="D44" s="91" t="str">
        <f>IF($A44="","",VLOOKUP($A44,'Annex 2 EHV charges'!$A:$O,7,0))</f>
        <v>BNTLY2</v>
      </c>
      <c r="E44" s="96">
        <f>IFERROR(IF(VLOOKUP($A44,'Annex 2 EHV charges'!$A:$O,8,FALSE)=0,"",VLOOKUP($A44,'Annex 2 EHV charges'!$A:$O,8,FALSE)),"")</f>
        <v>9.2230000000000008</v>
      </c>
      <c r="F44" s="97">
        <f>IFERROR(IF(VLOOKUP($A44,'Annex 2 EHV charges'!$A:$O,9,FALSE)=0,"",VLOOKUP($A44,'Annex 2 EHV charges'!$A:$O,9,FALSE)),"")</f>
        <v>6.6</v>
      </c>
      <c r="G44" s="98">
        <f>IFERROR(IF(VLOOKUP($A44,'Annex 2 EHV charges'!$A:$O,10,FALSE)=0,"",VLOOKUP($A44,'Annex 2 EHV charges'!$A:$O,10,FALSE)),"")</f>
        <v>1.55</v>
      </c>
      <c r="H44" s="98">
        <f>IFERROR(IF(VLOOKUP($A44,'Annex 2 EHV charges'!$A:$O,11,FALSE)=0,"",VLOOKUP($A44,'Annex 2 EHV charges'!$A:$O,11,FALSE)),"")</f>
        <v>1.55</v>
      </c>
    </row>
    <row r="45" spans="1:8" ht="12.75" customHeight="1" x14ac:dyDescent="0.2">
      <c r="A45" s="91" t="str">
        <f t="array" ref="A45">IFERROR(INDEX('Annex 2 EHV charges'!$A$10:$A$259, MATCH(0, IF(ISBLANK('Annex 2 EHV charges'!$A$10:$A$259),1, COUNTIF(A$4:$A44, 'Annex 2 EHV charges'!$A$10:$A$259)), 0)),"")</f>
        <v>BOBBNG</v>
      </c>
      <c r="B45" s="91">
        <f>IF($A45="","",VLOOKUP($A45,'Annex 2 EHV charges'!$A:$O,2,0))</f>
        <v>891</v>
      </c>
      <c r="C45" s="92">
        <f>IF($A45="","",VLOOKUP($A45,'Annex 2 EHV charges'!$A:$O,3,0))</f>
        <v>1900091395508</v>
      </c>
      <c r="D45" s="91" t="str">
        <f>IF($A45="","",VLOOKUP($A45,'Annex 2 EHV charges'!$A:$O,7,0))</f>
        <v>BOBBNG</v>
      </c>
      <c r="E45" s="96">
        <f>IFERROR(IF(VLOOKUP($A45,'Annex 2 EHV charges'!$A:$O,8,FALSE)=0,"",VLOOKUP($A45,'Annex 2 EHV charges'!$A:$O,8,FALSE)),"")</f>
        <v>2E-3</v>
      </c>
      <c r="F45" s="97">
        <f>IFERROR(IF(VLOOKUP($A45,'Annex 2 EHV charges'!$A:$O,9,FALSE)=0,"",VLOOKUP($A45,'Annex 2 EHV charges'!$A:$O,9,FALSE)),"")</f>
        <v>4.7</v>
      </c>
      <c r="G45" s="98">
        <f>IFERROR(IF(VLOOKUP($A45,'Annex 2 EHV charges'!$A:$O,10,FALSE)=0,"",VLOOKUP($A45,'Annex 2 EHV charges'!$A:$O,10,FALSE)),"")</f>
        <v>3.27</v>
      </c>
      <c r="H45" s="98">
        <f>IFERROR(IF(VLOOKUP($A45,'Annex 2 EHV charges'!$A:$O,11,FALSE)=0,"",VLOOKUP($A45,'Annex 2 EHV charges'!$A:$O,11,FALSE)),"")</f>
        <v>3.27</v>
      </c>
    </row>
    <row r="46" spans="1:8" ht="12.75" customHeight="1" x14ac:dyDescent="0.2">
      <c r="A46" s="91" t="str">
        <f t="array" ref="A46">IFERROR(INDEX('Annex 2 EHV charges'!$A$10:$A$259, MATCH(0, IF(ISBLANK('Annex 2 EHV charges'!$A$10:$A$259),1, COUNTIF(A$4:$A45, 'Annex 2 EHV charges'!$A$10:$A$259)), 0)),"")</f>
        <v>BRAMBS</v>
      </c>
      <c r="B46" s="91">
        <f>IF($A46="","",VLOOKUP($A46,'Annex 2 EHV charges'!$A:$O,2,0))</f>
        <v>842</v>
      </c>
      <c r="C46" s="92">
        <f>IF($A46="","",VLOOKUP($A46,'Annex 2 EHV charges'!$A:$O,3,0))</f>
        <v>1900091566810</v>
      </c>
      <c r="D46" s="91" t="str">
        <f>IF($A46="","",VLOOKUP($A46,'Annex 2 EHV charges'!$A:$O,7,0))</f>
        <v>BRAMBS</v>
      </c>
      <c r="E46" s="96">
        <f>IFERROR(IF(VLOOKUP($A46,'Annex 2 EHV charges'!$A:$O,8,FALSE)=0,"",VLOOKUP($A46,'Annex 2 EHV charges'!$A:$O,8,FALSE)),"")</f>
        <v>7.4999999999999997E-2</v>
      </c>
      <c r="F46" s="97">
        <f>IFERROR(IF(VLOOKUP($A46,'Annex 2 EHV charges'!$A:$O,9,FALSE)=0,"",VLOOKUP($A46,'Annex 2 EHV charges'!$A:$O,9,FALSE)),"")</f>
        <v>345.61</v>
      </c>
      <c r="G46" s="98">
        <f>IFERROR(IF(VLOOKUP($A46,'Annex 2 EHV charges'!$A:$O,10,FALSE)=0,"",VLOOKUP($A46,'Annex 2 EHV charges'!$A:$O,10,FALSE)),"")</f>
        <v>1.5</v>
      </c>
      <c r="H46" s="98">
        <f>IFERROR(IF(VLOOKUP($A46,'Annex 2 EHV charges'!$A:$O,11,FALSE)=0,"",VLOOKUP($A46,'Annex 2 EHV charges'!$A:$O,11,FALSE)),"")</f>
        <v>1.5</v>
      </c>
    </row>
    <row r="47" spans="1:8" ht="12.75" customHeight="1" x14ac:dyDescent="0.2">
      <c r="A47" s="91" t="str">
        <f t="array" ref="A47">IFERROR(INDEX('Annex 2 EHV charges'!$A$10:$A$259, MATCH(0, IF(ISBLANK('Annex 2 EHV charges'!$A$10:$A$259),1, COUNTIF(A$4:$A46, 'Annex 2 EHV charges'!$A$10:$A$259)), 0)),"")</f>
        <v>BRELLE</v>
      </c>
      <c r="B47" s="91">
        <f>IF($A47="","",VLOOKUP($A47,'Annex 2 EHV charges'!$A:$O,2,0))</f>
        <v>843</v>
      </c>
      <c r="C47" s="92">
        <f>IF($A47="","",VLOOKUP($A47,'Annex 2 EHV charges'!$A:$O,3,0))</f>
        <v>1900091523116</v>
      </c>
      <c r="D47" s="91" t="str">
        <f>IF($A47="","",VLOOKUP($A47,'Annex 2 EHV charges'!$A:$O,7,0))</f>
        <v>BRELLE</v>
      </c>
      <c r="E47" s="96" t="str">
        <f>IFERROR(IF(VLOOKUP($A47,'Annex 2 EHV charges'!$A:$O,8,FALSE)=0,"",VLOOKUP($A47,'Annex 2 EHV charges'!$A:$O,8,FALSE)),"")</f>
        <v/>
      </c>
      <c r="F47" s="97">
        <f>IFERROR(IF(VLOOKUP($A47,'Annex 2 EHV charges'!$A:$O,9,FALSE)=0,"",VLOOKUP($A47,'Annex 2 EHV charges'!$A:$O,9,FALSE)),"")</f>
        <v>33.79</v>
      </c>
      <c r="G47" s="98">
        <f>IFERROR(IF(VLOOKUP($A47,'Annex 2 EHV charges'!$A:$O,10,FALSE)=0,"",VLOOKUP($A47,'Annex 2 EHV charges'!$A:$O,10,FALSE)),"")</f>
        <v>2.11</v>
      </c>
      <c r="H47" s="98">
        <f>IFERROR(IF(VLOOKUP($A47,'Annex 2 EHV charges'!$A:$O,11,FALSE)=0,"",VLOOKUP($A47,'Annex 2 EHV charges'!$A:$O,11,FALSE)),"")</f>
        <v>2.11</v>
      </c>
    </row>
    <row r="48" spans="1:8" ht="12.75" customHeight="1" x14ac:dyDescent="0.2">
      <c r="A48" s="91" t="str">
        <f t="array" ref="A48">IFERROR(INDEX('Annex 2 EHV charges'!$A$10:$A$259, MATCH(0, IF(ISBLANK('Annex 2 EHV charges'!$A$10:$A$259),1, COUNTIF(A$4:$A47, 'Annex 2 EHV charges'!$A$10:$A$259)), 0)),"")</f>
        <v>BRETSH</v>
      </c>
      <c r="B48" s="91">
        <f>IF($A48="","",VLOOKUP($A48,'Annex 2 EHV charges'!$A:$O,2,0))</f>
        <v>871</v>
      </c>
      <c r="C48" s="92" t="str">
        <f>IF($A48="","",VLOOKUP($A48,'Annex 2 EHV charges'!$A:$O,3,0))</f>
        <v>1900061003393
1900090466576</v>
      </c>
      <c r="D48" s="91" t="str">
        <f>IF($A48="","",VLOOKUP($A48,'Annex 2 EHV charges'!$A:$O,7,0))</f>
        <v>BRETSH</v>
      </c>
      <c r="E48" s="96">
        <f>IFERROR(IF(VLOOKUP($A48,'Annex 2 EHV charges'!$A:$O,8,FALSE)=0,"",VLOOKUP($A48,'Annex 2 EHV charges'!$A:$O,8,FALSE)),"")</f>
        <v>1E-3</v>
      </c>
      <c r="F48" s="97">
        <f>IFERROR(IF(VLOOKUP($A48,'Annex 2 EHV charges'!$A:$O,9,FALSE)=0,"",VLOOKUP($A48,'Annex 2 EHV charges'!$A:$O,9,FALSE)),"")</f>
        <v>22.5</v>
      </c>
      <c r="G48" s="98">
        <f>IFERROR(IF(VLOOKUP($A48,'Annex 2 EHV charges'!$A:$O,10,FALSE)=0,"",VLOOKUP($A48,'Annex 2 EHV charges'!$A:$O,10,FALSE)),"")</f>
        <v>1.26</v>
      </c>
      <c r="H48" s="98">
        <f>IFERROR(IF(VLOOKUP($A48,'Annex 2 EHV charges'!$A:$O,11,FALSE)=0,"",VLOOKUP($A48,'Annex 2 EHV charges'!$A:$O,11,FALSE)),"")</f>
        <v>1.26</v>
      </c>
    </row>
    <row r="49" spans="1:8" ht="12.75" customHeight="1" x14ac:dyDescent="0.2">
      <c r="A49" s="91" t="str">
        <f t="array" ref="A49">IFERROR(INDEX('Annex 2 EHV charges'!$A$10:$A$259, MATCH(0, IF(ISBLANK('Annex 2 EHV charges'!$A$10:$A$259),1, COUNTIF(A$4:$A48, 'Annex 2 EHV charges'!$A$10:$A$259)), 0)),"")</f>
        <v>BRKHST</v>
      </c>
      <c r="B49" s="91">
        <f>IF($A49="","",VLOOKUP($A49,'Annex 2 EHV charges'!$A:$O,2,0))</f>
        <v>802</v>
      </c>
      <c r="C49" s="92">
        <f>IF($A49="","",VLOOKUP($A49,'Annex 2 EHV charges'!$A:$O,3,0))</f>
        <v>1900090834409</v>
      </c>
      <c r="D49" s="91" t="str">
        <f>IF($A49="","",VLOOKUP($A49,'Annex 2 EHV charges'!$A:$O,7,0))</f>
        <v>BRKHST</v>
      </c>
      <c r="E49" s="96">
        <f>IFERROR(IF(VLOOKUP($A49,'Annex 2 EHV charges'!$A:$O,8,FALSE)=0,"",VLOOKUP($A49,'Annex 2 EHV charges'!$A:$O,8,FALSE)),"")</f>
        <v>0.35699999999999998</v>
      </c>
      <c r="F49" s="97">
        <f>IFERROR(IF(VLOOKUP($A49,'Annex 2 EHV charges'!$A:$O,9,FALSE)=0,"",VLOOKUP($A49,'Annex 2 EHV charges'!$A:$O,9,FALSE)),"")</f>
        <v>1628.32</v>
      </c>
      <c r="G49" s="98">
        <f>IFERROR(IF(VLOOKUP($A49,'Annex 2 EHV charges'!$A:$O,10,FALSE)=0,"",VLOOKUP($A49,'Annex 2 EHV charges'!$A:$O,10,FALSE)),"")</f>
        <v>2.12</v>
      </c>
      <c r="H49" s="98">
        <f>IFERROR(IF(VLOOKUP($A49,'Annex 2 EHV charges'!$A:$O,11,FALSE)=0,"",VLOOKUP($A49,'Annex 2 EHV charges'!$A:$O,11,FALSE)),"")</f>
        <v>2.12</v>
      </c>
    </row>
    <row r="50" spans="1:8" ht="12.75" customHeight="1" x14ac:dyDescent="0.2">
      <c r="A50" s="91" t="str">
        <f t="array" ref="A50">IFERROR(INDEX('Annex 2 EHV charges'!$A$10:$A$259, MATCH(0, IF(ISBLANK('Annex 2 EHV charges'!$A$10:$A$259),1, COUNTIF(A$4:$A49, 'Annex 2 EHV charges'!$A$10:$A$259)), 0)),"")</f>
        <v>BTBRKS</v>
      </c>
      <c r="B50" s="91">
        <f>IF($A50="","",VLOOKUP($A50,'Annex 2 EHV charges'!$A:$O,2,0))</f>
        <v>810</v>
      </c>
      <c r="C50" s="92">
        <f>IF($A50="","",VLOOKUP($A50,'Annex 2 EHV charges'!$A:$O,3,0))</f>
        <v>1900091199350</v>
      </c>
      <c r="D50" s="91" t="str">
        <f>IF($A50="","",VLOOKUP($A50,'Annex 2 EHV charges'!$A:$O,7,0))</f>
        <v>BTBRKS</v>
      </c>
      <c r="E50" s="96">
        <f>IFERROR(IF(VLOOKUP($A50,'Annex 2 EHV charges'!$A:$O,8,FALSE)=0,"",VLOOKUP($A50,'Annex 2 EHV charges'!$A:$O,8,FALSE)),"")</f>
        <v>1.127</v>
      </c>
      <c r="F50" s="97">
        <f>IFERROR(IF(VLOOKUP($A50,'Annex 2 EHV charges'!$A:$O,9,FALSE)=0,"",VLOOKUP($A50,'Annex 2 EHV charges'!$A:$O,9,FALSE)),"")</f>
        <v>48.75</v>
      </c>
      <c r="G50" s="98">
        <f>IFERROR(IF(VLOOKUP($A50,'Annex 2 EHV charges'!$A:$O,10,FALSE)=0,"",VLOOKUP($A50,'Annex 2 EHV charges'!$A:$O,10,FALSE)),"")</f>
        <v>1.33</v>
      </c>
      <c r="H50" s="98">
        <f>IFERROR(IF(VLOOKUP($A50,'Annex 2 EHV charges'!$A:$O,11,FALSE)=0,"",VLOOKUP($A50,'Annex 2 EHV charges'!$A:$O,11,FALSE)),"")</f>
        <v>1.33</v>
      </c>
    </row>
    <row r="51" spans="1:8" ht="12.75" customHeight="1" x14ac:dyDescent="0.2">
      <c r="A51" s="91" t="str">
        <f t="array" ref="A51">IFERROR(INDEX('Annex 2 EHV charges'!$A$10:$A$259, MATCH(0, IF(ISBLANK('Annex 2 EHV charges'!$A$10:$A$259),1, COUNTIF(A$4:$A50, 'Annex 2 EHV charges'!$A$10:$A$259)), 0)),"")</f>
        <v>CAPELG</v>
      </c>
      <c r="B51" s="91">
        <f>IF($A51="","",VLOOKUP($A51,'Annex 2 EHV charges'!$A:$O,2,0))</f>
        <v>893</v>
      </c>
      <c r="C51" s="92">
        <f>IF($A51="","",VLOOKUP($A51,'Annex 2 EHV charges'!$A:$O,3,0))</f>
        <v>1900091353298</v>
      </c>
      <c r="D51" s="91" t="str">
        <f>IF($A51="","",VLOOKUP($A51,'Annex 2 EHV charges'!$A:$O,7,0))</f>
        <v>CAPELG</v>
      </c>
      <c r="E51" s="96">
        <f>IFERROR(IF(VLOOKUP($A51,'Annex 2 EHV charges'!$A:$O,8,FALSE)=0,"",VLOOKUP($A51,'Annex 2 EHV charges'!$A:$O,8,FALSE)),"")</f>
        <v>0.61599999999999999</v>
      </c>
      <c r="F51" s="97">
        <f>IFERROR(IF(VLOOKUP($A51,'Annex 2 EHV charges'!$A:$O,9,FALSE)=0,"",VLOOKUP($A51,'Annex 2 EHV charges'!$A:$O,9,FALSE)),"")</f>
        <v>0.86</v>
      </c>
      <c r="G51" s="98">
        <f>IFERROR(IF(VLOOKUP($A51,'Annex 2 EHV charges'!$A:$O,10,FALSE)=0,"",VLOOKUP($A51,'Annex 2 EHV charges'!$A:$O,10,FALSE)),"")</f>
        <v>4.57</v>
      </c>
      <c r="H51" s="98">
        <f>IFERROR(IF(VLOOKUP($A51,'Annex 2 EHV charges'!$A:$O,11,FALSE)=0,"",VLOOKUP($A51,'Annex 2 EHV charges'!$A:$O,11,FALSE)),"")</f>
        <v>4.57</v>
      </c>
    </row>
    <row r="52" spans="1:8" ht="12.75" customHeight="1" x14ac:dyDescent="0.2">
      <c r="A52" s="91" t="str">
        <f t="array" ref="A52">IFERROR(INDEX('Annex 2 EHV charges'!$A$10:$A$259, MATCH(0, IF(ISBLANK('Annex 2 EHV charges'!$A$10:$A$259),1, COUNTIF(A$4:$A51, 'Annex 2 EHV charges'!$A$10:$A$259)), 0)),"")</f>
        <v>CLYHLL</v>
      </c>
      <c r="B52" s="91">
        <f>IF($A52="","",VLOOKUP($A52,'Annex 2 EHV charges'!$A:$O,2,0))</f>
        <v>894</v>
      </c>
      <c r="C52" s="92">
        <f>IF($A52="","",VLOOKUP($A52,'Annex 2 EHV charges'!$A:$O,3,0))</f>
        <v>1900091343750</v>
      </c>
      <c r="D52" s="91" t="str">
        <f>IF($A52="","",VLOOKUP($A52,'Annex 2 EHV charges'!$A:$O,7,0))</f>
        <v>CLYHLL</v>
      </c>
      <c r="E52" s="96">
        <f>IFERROR(IF(VLOOKUP($A52,'Annex 2 EHV charges'!$A:$O,8,FALSE)=0,"",VLOOKUP($A52,'Annex 2 EHV charges'!$A:$O,8,FALSE)),"")</f>
        <v>0.57699999999999996</v>
      </c>
      <c r="F52" s="97">
        <f>IFERROR(IF(VLOOKUP($A52,'Annex 2 EHV charges'!$A:$O,9,FALSE)=0,"",VLOOKUP($A52,'Annex 2 EHV charges'!$A:$O,9,FALSE)),"")</f>
        <v>6.53</v>
      </c>
      <c r="G52" s="98">
        <f>IFERROR(IF(VLOOKUP($A52,'Annex 2 EHV charges'!$A:$O,10,FALSE)=0,"",VLOOKUP($A52,'Annex 2 EHV charges'!$A:$O,10,FALSE)),"")</f>
        <v>1.99</v>
      </c>
      <c r="H52" s="98">
        <f>IFERROR(IF(VLOOKUP($A52,'Annex 2 EHV charges'!$A:$O,11,FALSE)=0,"",VLOOKUP($A52,'Annex 2 EHV charges'!$A:$O,11,FALSE)),"")</f>
        <v>1.99</v>
      </c>
    </row>
    <row r="53" spans="1:8" ht="12.75" customHeight="1" x14ac:dyDescent="0.2">
      <c r="A53" s="91" t="str">
        <f t="array" ref="A53">IFERROR(INDEX('Annex 2 EHV charges'!$A$10:$A$259, MATCH(0, IF(ISBLANK('Annex 2 EHV charges'!$A$10:$A$259),1, COUNTIF(A$4:$A52, 'Annex 2 EHV charges'!$A$10:$A$259)), 0)),"")</f>
        <v>CRYENG</v>
      </c>
      <c r="B53" s="91">
        <f>IF($A53="","",VLOOKUP($A53,'Annex 2 EHV charges'!$A:$O,2,0))</f>
        <v>872</v>
      </c>
      <c r="C53" s="92">
        <f>IF($A53="","",VLOOKUP($A53,'Annex 2 EHV charges'!$A:$O,3,0))</f>
        <v>1900060831692</v>
      </c>
      <c r="D53" s="91" t="str">
        <f>IF($A53="","",VLOOKUP($A53,'Annex 2 EHV charges'!$A:$O,7,0))</f>
        <v>CRYENG</v>
      </c>
      <c r="E53" s="96" t="str">
        <f>IFERROR(IF(VLOOKUP($A53,'Annex 2 EHV charges'!$A:$O,8,FALSE)=0,"",VLOOKUP($A53,'Annex 2 EHV charges'!$A:$O,8,FALSE)),"")</f>
        <v/>
      </c>
      <c r="F53" s="97">
        <f>IFERROR(IF(VLOOKUP($A53,'Annex 2 EHV charges'!$A:$O,9,FALSE)=0,"",VLOOKUP($A53,'Annex 2 EHV charges'!$A:$O,9,FALSE)),"")</f>
        <v>112.13</v>
      </c>
      <c r="G53" s="98">
        <f>IFERROR(IF(VLOOKUP($A53,'Annex 2 EHV charges'!$A:$O,10,FALSE)=0,"",VLOOKUP($A53,'Annex 2 EHV charges'!$A:$O,10,FALSE)),"")</f>
        <v>1.1499999999999999</v>
      </c>
      <c r="H53" s="98">
        <f>IFERROR(IF(VLOOKUP($A53,'Annex 2 EHV charges'!$A:$O,11,FALSE)=0,"",VLOOKUP($A53,'Annex 2 EHV charges'!$A:$O,11,FALSE)),"")</f>
        <v>1.1499999999999999</v>
      </c>
    </row>
    <row r="54" spans="1:8" ht="12.75" customHeight="1" x14ac:dyDescent="0.2">
      <c r="A54" s="91" t="str">
        <f t="array" ref="A54">IFERROR(INDEX('Annex 2 EHV charges'!$A$10:$A$259, MATCH(0, IF(ISBLANK('Annex 2 EHV charges'!$A$10:$A$259),1, COUNTIF(A$4:$A53, 'Annex 2 EHV charges'!$A$10:$A$259)), 0)),"")</f>
        <v>DSCPRK</v>
      </c>
      <c r="B54" s="91">
        <f>IF($A54="","",VLOOKUP($A54,'Annex 2 EHV charges'!$A:$O,2,0))</f>
        <v>804</v>
      </c>
      <c r="C54" s="92" t="str">
        <f>IF($A54="","",VLOOKUP($A54,'Annex 2 EHV charges'!$A:$O,3,0))</f>
        <v>1900091057568
1900091637072</v>
      </c>
      <c r="D54" s="91" t="str">
        <f>IF($A54="","",VLOOKUP($A54,'Annex 2 EHV charges'!$A:$O,7,0))</f>
        <v>DSCPRK</v>
      </c>
      <c r="E54" s="96">
        <f>IFERROR(IF(VLOOKUP($A54,'Annex 2 EHV charges'!$A:$O,8,FALSE)=0,"",VLOOKUP($A54,'Annex 2 EHV charges'!$A:$O,8,FALSE)),"")</f>
        <v>0.14199999999999999</v>
      </c>
      <c r="F54" s="97">
        <f>IFERROR(IF(VLOOKUP($A54,'Annex 2 EHV charges'!$A:$O,9,FALSE)=0,"",VLOOKUP($A54,'Annex 2 EHV charges'!$A:$O,9,FALSE)),"")</f>
        <v>1387.09</v>
      </c>
      <c r="G54" s="98">
        <f>IFERROR(IF(VLOOKUP($A54,'Annex 2 EHV charges'!$A:$O,10,FALSE)=0,"",VLOOKUP($A54,'Annex 2 EHV charges'!$A:$O,10,FALSE)),"")</f>
        <v>1.01</v>
      </c>
      <c r="H54" s="98">
        <f>IFERROR(IF(VLOOKUP($A54,'Annex 2 EHV charges'!$A:$O,11,FALSE)=0,"",VLOOKUP($A54,'Annex 2 EHV charges'!$A:$O,11,FALSE)),"")</f>
        <v>1.01</v>
      </c>
    </row>
    <row r="55" spans="1:8" ht="12.75" customHeight="1" x14ac:dyDescent="0.2">
      <c r="A55" s="91" t="str">
        <f t="array" ref="A55">IFERROR(INDEX('Annex 2 EHV charges'!$A$10:$A$259, MATCH(0, IF(ISBLANK('Annex 2 EHV charges'!$A$10:$A$259),1, COUNTIF(A$4:$A54, 'Annex 2 EHV charges'!$A$10:$A$259)), 0)),"")</f>
        <v>FORDSF</v>
      </c>
      <c r="B55" s="91">
        <f>IF($A55="","",VLOOKUP($A55,'Annex 2 EHV charges'!$A:$O,2,0))</f>
        <v>895</v>
      </c>
      <c r="C55" s="92">
        <f>IF($A55="","",VLOOKUP($A55,'Annex 2 EHV charges'!$A:$O,3,0))</f>
        <v>1900091361962</v>
      </c>
      <c r="D55" s="91" t="str">
        <f>IF($A55="","",VLOOKUP($A55,'Annex 2 EHV charges'!$A:$O,7,0))</f>
        <v>FORDSF</v>
      </c>
      <c r="E55" s="96" t="str">
        <f>IFERROR(IF(VLOOKUP($A55,'Annex 2 EHV charges'!$A:$O,8,FALSE)=0,"",VLOOKUP($A55,'Annex 2 EHV charges'!$A:$O,8,FALSE)),"")</f>
        <v/>
      </c>
      <c r="F55" s="97">
        <f>IFERROR(IF(VLOOKUP($A55,'Annex 2 EHV charges'!$A:$O,9,FALSE)=0,"",VLOOKUP($A55,'Annex 2 EHV charges'!$A:$O,9,FALSE)),"")</f>
        <v>11.34</v>
      </c>
      <c r="G55" s="98">
        <f>IFERROR(IF(VLOOKUP($A55,'Annex 2 EHV charges'!$A:$O,10,FALSE)=0,"",VLOOKUP($A55,'Annex 2 EHV charges'!$A:$O,10,FALSE)),"")</f>
        <v>1.63</v>
      </c>
      <c r="H55" s="98">
        <f>IFERROR(IF(VLOOKUP($A55,'Annex 2 EHV charges'!$A:$O,11,FALSE)=0,"",VLOOKUP($A55,'Annex 2 EHV charges'!$A:$O,11,FALSE)),"")</f>
        <v>1.63</v>
      </c>
    </row>
    <row r="56" spans="1:8" ht="12.75" customHeight="1" x14ac:dyDescent="0.2">
      <c r="A56" s="91" t="str">
        <f t="array" ref="A56">IFERROR(INDEX('Annex 2 EHV charges'!$A$10:$A$259, MATCH(0, IF(ISBLANK('Annex 2 EHV charges'!$A$10:$A$259),1, COUNTIF(A$4:$A55, 'Annex 2 EHV charges'!$A$10:$A$259)), 0)),"")</f>
        <v>FRWOOD</v>
      </c>
      <c r="B56" s="91">
        <f>IF($A56="","",VLOOKUP($A56,'Annex 2 EHV charges'!$A:$O,2,0))</f>
        <v>811</v>
      </c>
      <c r="C56" s="92">
        <f>IF($A56="","",VLOOKUP($A56,'Annex 2 EHV charges'!$A:$O,3,0))</f>
        <v>1900091200388</v>
      </c>
      <c r="D56" s="91" t="str">
        <f>IF($A56="","",VLOOKUP($A56,'Annex 2 EHV charges'!$A:$O,7,0))</f>
        <v>FRWOOD</v>
      </c>
      <c r="E56" s="96" t="str">
        <f>IFERROR(IF(VLOOKUP($A56,'Annex 2 EHV charges'!$A:$O,8,FALSE)=0,"",VLOOKUP($A56,'Annex 2 EHV charges'!$A:$O,8,FALSE)),"")</f>
        <v/>
      </c>
      <c r="F56" s="97">
        <f>IFERROR(IF(VLOOKUP($A56,'Annex 2 EHV charges'!$A:$O,9,FALSE)=0,"",VLOOKUP($A56,'Annex 2 EHV charges'!$A:$O,9,FALSE)),"")</f>
        <v>17.91</v>
      </c>
      <c r="G56" s="98">
        <f>IFERROR(IF(VLOOKUP($A56,'Annex 2 EHV charges'!$A:$O,10,FALSE)=0,"",VLOOKUP($A56,'Annex 2 EHV charges'!$A:$O,10,FALSE)),"")</f>
        <v>1.54</v>
      </c>
      <c r="H56" s="98">
        <f>IFERROR(IF(VLOOKUP($A56,'Annex 2 EHV charges'!$A:$O,11,FALSE)=0,"",VLOOKUP($A56,'Annex 2 EHV charges'!$A:$O,11,FALSE)),"")</f>
        <v>1.54</v>
      </c>
    </row>
    <row r="57" spans="1:8" ht="12.75" customHeight="1" x14ac:dyDescent="0.2">
      <c r="A57" s="91" t="str">
        <f t="array" ref="A57">IFERROR(INDEX('Annex 2 EHV charges'!$A$10:$A$259, MATCH(0, IF(ISBLANK('Annex 2 EHV charges'!$A$10:$A$259),1, COUNTIF(A$4:$A56, 'Annex 2 EHV charges'!$A$10:$A$259)), 0)),"")</f>
        <v>GROVEH</v>
      </c>
      <c r="B57" s="91">
        <f>IF($A57="","",VLOOKUP($A57,'Annex 2 EHV charges'!$A:$O,2,0))</f>
        <v>875</v>
      </c>
      <c r="C57" s="92">
        <f>IF($A57="","",VLOOKUP($A57,'Annex 2 EHV charges'!$A:$O,3,0))</f>
        <v>1900060225185</v>
      </c>
      <c r="D57" s="91" t="str">
        <f>IF($A57="","",VLOOKUP($A57,'Annex 2 EHV charges'!$A:$O,7,0))</f>
        <v>GROVEH</v>
      </c>
      <c r="E57" s="96" t="str">
        <f>IFERROR(IF(VLOOKUP($A57,'Annex 2 EHV charges'!$A:$O,8,FALSE)=0,"",VLOOKUP($A57,'Annex 2 EHV charges'!$A:$O,8,FALSE)),"")</f>
        <v/>
      </c>
      <c r="F57" s="97">
        <f>IFERROR(IF(VLOOKUP($A57,'Annex 2 EHV charges'!$A:$O,9,FALSE)=0,"",VLOOKUP($A57,'Annex 2 EHV charges'!$A:$O,9,FALSE)),"")</f>
        <v>411.64</v>
      </c>
      <c r="G57" s="98">
        <f>IFERROR(IF(VLOOKUP($A57,'Annex 2 EHV charges'!$A:$O,10,FALSE)=0,"",VLOOKUP($A57,'Annex 2 EHV charges'!$A:$O,10,FALSE)),"")</f>
        <v>1</v>
      </c>
      <c r="H57" s="98">
        <f>IFERROR(IF(VLOOKUP($A57,'Annex 2 EHV charges'!$A:$O,11,FALSE)=0,"",VLOOKUP($A57,'Annex 2 EHV charges'!$A:$O,11,FALSE)),"")</f>
        <v>1</v>
      </c>
    </row>
    <row r="58" spans="1:8" ht="12.75" customHeight="1" x14ac:dyDescent="0.2">
      <c r="A58" s="91" t="str">
        <f t="array" ref="A58">IFERROR(INDEX('Annex 2 EHV charges'!$A$10:$A$259, MATCH(0, IF(ISBLANK('Annex 2 EHV charges'!$A$10:$A$259),1, COUNTIF(A$4:$A57, 'Annex 2 EHV charges'!$A$10:$A$259)), 0)),"")</f>
        <v>GUSTON</v>
      </c>
      <c r="B58" s="91">
        <f>IF($A58="","",VLOOKUP($A58,'Annex 2 EHV charges'!$A:$O,2,0))</f>
        <v>831</v>
      </c>
      <c r="C58" s="92">
        <f>IF($A58="","",VLOOKUP($A58,'Annex 2 EHV charges'!$A:$O,3,0))</f>
        <v>1900091338040</v>
      </c>
      <c r="D58" s="91" t="str">
        <f>IF($A58="","",VLOOKUP($A58,'Annex 2 EHV charges'!$A:$O,7,0))</f>
        <v>GUSTON</v>
      </c>
      <c r="E58" s="96">
        <f>IFERROR(IF(VLOOKUP($A58,'Annex 2 EHV charges'!$A:$O,8,FALSE)=0,"",VLOOKUP($A58,'Annex 2 EHV charges'!$A:$O,8,FALSE)),"")</f>
        <v>0.01</v>
      </c>
      <c r="F58" s="97">
        <f>IFERROR(IF(VLOOKUP($A58,'Annex 2 EHV charges'!$A:$O,9,FALSE)=0,"",VLOOKUP($A58,'Annex 2 EHV charges'!$A:$O,9,FALSE)),"")</f>
        <v>15.15</v>
      </c>
      <c r="G58" s="98">
        <f>IFERROR(IF(VLOOKUP($A58,'Annex 2 EHV charges'!$A:$O,10,FALSE)=0,"",VLOOKUP($A58,'Annex 2 EHV charges'!$A:$O,10,FALSE)),"")</f>
        <v>1.7</v>
      </c>
      <c r="H58" s="98">
        <f>IFERROR(IF(VLOOKUP($A58,'Annex 2 EHV charges'!$A:$O,11,FALSE)=0,"",VLOOKUP($A58,'Annex 2 EHV charges'!$A:$O,11,FALSE)),"")</f>
        <v>1.7</v>
      </c>
    </row>
    <row r="59" spans="1:8" ht="12.75" customHeight="1" x14ac:dyDescent="0.2">
      <c r="A59" s="91" t="str">
        <f t="array" ref="A59">IFERROR(INDEX('Annex 2 EHV charges'!$A$10:$A$259, MATCH(0, IF(ISBLANK('Annex 2 EHV charges'!$A$10:$A$259),1, COUNTIF(A$4:$A58, 'Annex 2 EHV charges'!$A$10:$A$259)), 0)),"")</f>
        <v>HADLOW</v>
      </c>
      <c r="B59" s="91">
        <f>IF($A59="","",VLOOKUP($A59,'Annex 2 EHV charges'!$A:$O,2,0))</f>
        <v>812</v>
      </c>
      <c r="C59" s="92">
        <f>IF($A59="","",VLOOKUP($A59,'Annex 2 EHV charges'!$A:$O,3,0))</f>
        <v>1900091217043</v>
      </c>
      <c r="D59" s="91" t="str">
        <f>IF($A59="","",VLOOKUP($A59,'Annex 2 EHV charges'!$A:$O,7,0))</f>
        <v>HADLOW</v>
      </c>
      <c r="E59" s="96">
        <f>IFERROR(IF(VLOOKUP($A59,'Annex 2 EHV charges'!$A:$O,8,FALSE)=0,"",VLOOKUP($A59,'Annex 2 EHV charges'!$A:$O,8,FALSE)),"")</f>
        <v>0.52600000000000002</v>
      </c>
      <c r="F59" s="97">
        <f>IFERROR(IF(VLOOKUP($A59,'Annex 2 EHV charges'!$A:$O,9,FALSE)=0,"",VLOOKUP($A59,'Annex 2 EHV charges'!$A:$O,9,FALSE)),"")</f>
        <v>1.82</v>
      </c>
      <c r="G59" s="98">
        <f>IFERROR(IF(VLOOKUP($A59,'Annex 2 EHV charges'!$A:$O,10,FALSE)=0,"",VLOOKUP($A59,'Annex 2 EHV charges'!$A:$O,10,FALSE)),"")</f>
        <v>3.85</v>
      </c>
      <c r="H59" s="98">
        <f>IFERROR(IF(VLOOKUP($A59,'Annex 2 EHV charges'!$A:$O,11,FALSE)=0,"",VLOOKUP($A59,'Annex 2 EHV charges'!$A:$O,11,FALSE)),"")</f>
        <v>3.85</v>
      </c>
    </row>
    <row r="60" spans="1:8" ht="12.75" customHeight="1" x14ac:dyDescent="0.2">
      <c r="A60" s="91" t="str">
        <f t="array" ref="A60">IFERROR(INDEX('Annex 2 EHV charges'!$A$10:$A$259, MATCH(0, IF(ISBLANK('Annex 2 EHV charges'!$A$10:$A$259),1, COUNTIF(A$4:$A59, 'Annex 2 EHV charges'!$A$10:$A$259)), 0)),"")</f>
        <v>HANSTA</v>
      </c>
      <c r="B60" s="91">
        <f>IF($A60="","",VLOOKUP($A60,'Annex 2 EHV charges'!$A:$O,2,0))</f>
        <v>876</v>
      </c>
      <c r="C60" s="92" t="str">
        <f>IF($A60="","",VLOOKUP($A60,'Annex 2 EHV charges'!$A:$O,3,0))</f>
        <v>1900004383769
1900031426056</v>
      </c>
      <c r="D60" s="91" t="str">
        <f>IF($A60="","",VLOOKUP($A60,'Annex 2 EHV charges'!$A:$O,7,0))</f>
        <v>HANSTA</v>
      </c>
      <c r="E60" s="96" t="str">
        <f>IFERROR(IF(VLOOKUP($A60,'Annex 2 EHV charges'!$A:$O,8,FALSE)=0,"",VLOOKUP($A60,'Annex 2 EHV charges'!$A:$O,8,FALSE)),"")</f>
        <v/>
      </c>
      <c r="F60" s="97">
        <f>IFERROR(IF(VLOOKUP($A60,'Annex 2 EHV charges'!$A:$O,9,FALSE)=0,"",VLOOKUP($A60,'Annex 2 EHV charges'!$A:$O,9,FALSE)),"")</f>
        <v>1.8</v>
      </c>
      <c r="G60" s="98">
        <f>IFERROR(IF(VLOOKUP($A60,'Annex 2 EHV charges'!$A:$O,10,FALSE)=0,"",VLOOKUP($A60,'Annex 2 EHV charges'!$A:$O,10,FALSE)),"")</f>
        <v>1.1100000000000001</v>
      </c>
      <c r="H60" s="98">
        <f>IFERROR(IF(VLOOKUP($A60,'Annex 2 EHV charges'!$A:$O,11,FALSE)=0,"",VLOOKUP($A60,'Annex 2 EHV charges'!$A:$O,11,FALSE)),"")</f>
        <v>1.1100000000000001</v>
      </c>
    </row>
    <row r="61" spans="1:8" ht="12.75" customHeight="1" x14ac:dyDescent="0.2">
      <c r="A61" s="91" t="str">
        <f t="array" ref="A61">IFERROR(INDEX('Annex 2 EHV charges'!$A$10:$A$259, MATCH(0, IF(ISBLANK('Annex 2 EHV charges'!$A$10:$A$259),1, COUNTIF(A$4:$A60, 'Annex 2 EHV charges'!$A$10:$A$259)), 0)),"")</f>
        <v>HLLMBY</v>
      </c>
      <c r="B61" s="91">
        <f>IF($A61="","",VLOOKUP($A61,'Annex 2 EHV charges'!$A:$O,2,0))</f>
        <v>813</v>
      </c>
      <c r="C61" s="92">
        <f>IF($A61="","",VLOOKUP($A61,'Annex 2 EHV charges'!$A:$O,3,0))</f>
        <v>1900091217070</v>
      </c>
      <c r="D61" s="91" t="str">
        <f>IF($A61="","",VLOOKUP($A61,'Annex 2 EHV charges'!$A:$O,7,0))</f>
        <v>HLLMBY</v>
      </c>
      <c r="E61" s="96" t="str">
        <f>IFERROR(IF(VLOOKUP($A61,'Annex 2 EHV charges'!$A:$O,8,FALSE)=0,"",VLOOKUP($A61,'Annex 2 EHV charges'!$A:$O,8,FALSE)),"")</f>
        <v/>
      </c>
      <c r="F61" s="97">
        <f>IFERROR(IF(VLOOKUP($A61,'Annex 2 EHV charges'!$A:$O,9,FALSE)=0,"",VLOOKUP($A61,'Annex 2 EHV charges'!$A:$O,9,FALSE)),"")</f>
        <v>9.41</v>
      </c>
      <c r="G61" s="98">
        <f>IFERROR(IF(VLOOKUP($A61,'Annex 2 EHV charges'!$A:$O,10,FALSE)=0,"",VLOOKUP($A61,'Annex 2 EHV charges'!$A:$O,10,FALSE)),"")</f>
        <v>1.5</v>
      </c>
      <c r="H61" s="98">
        <f>IFERROR(IF(VLOOKUP($A61,'Annex 2 EHV charges'!$A:$O,11,FALSE)=0,"",VLOOKUP($A61,'Annex 2 EHV charges'!$A:$O,11,FALSE)),"")</f>
        <v>1.5</v>
      </c>
    </row>
    <row r="62" spans="1:8" ht="12.75" customHeight="1" x14ac:dyDescent="0.2">
      <c r="A62" s="91" t="str">
        <f t="array" ref="A62">IFERROR(INDEX('Annex 2 EHV charges'!$A$10:$A$259, MATCH(0, IF(ISBLANK('Annex 2 EHV charges'!$A$10:$A$259),1, COUNTIF(A$4:$A61, 'Annex 2 EHV charges'!$A$10:$A$259)), 0)),"")</f>
        <v>HORAMS</v>
      </c>
      <c r="B62" s="91">
        <f>IF($A62="","",VLOOKUP($A62,'Annex 2 EHV charges'!$A:$O,2,0))</f>
        <v>824</v>
      </c>
      <c r="C62" s="92">
        <f>IF($A62="","",VLOOKUP($A62,'Annex 2 EHV charges'!$A:$O,3,0))</f>
        <v>1900091200068</v>
      </c>
      <c r="D62" s="91" t="str">
        <f>IF($A62="","",VLOOKUP($A62,'Annex 2 EHV charges'!$A:$O,7,0))</f>
        <v>HORAMS</v>
      </c>
      <c r="E62" s="96">
        <f>IFERROR(IF(VLOOKUP($A62,'Annex 2 EHV charges'!$A:$O,8,FALSE)=0,"",VLOOKUP($A62,'Annex 2 EHV charges'!$A:$O,8,FALSE)),"")</f>
        <v>0.14000000000000001</v>
      </c>
      <c r="F62" s="97">
        <f>IFERROR(IF(VLOOKUP($A62,'Annex 2 EHV charges'!$A:$O,9,FALSE)=0,"",VLOOKUP($A62,'Annex 2 EHV charges'!$A:$O,9,FALSE)),"")</f>
        <v>13.17</v>
      </c>
      <c r="G62" s="98">
        <f>IFERROR(IF(VLOOKUP($A62,'Annex 2 EHV charges'!$A:$O,10,FALSE)=0,"",VLOOKUP($A62,'Annex 2 EHV charges'!$A:$O,10,FALSE)),"")</f>
        <v>7.66</v>
      </c>
      <c r="H62" s="98">
        <f>IFERROR(IF(VLOOKUP($A62,'Annex 2 EHV charges'!$A:$O,11,FALSE)=0,"",VLOOKUP($A62,'Annex 2 EHV charges'!$A:$O,11,FALSE)),"")</f>
        <v>7.66</v>
      </c>
    </row>
    <row r="63" spans="1:8" ht="12.75" customHeight="1" x14ac:dyDescent="0.2">
      <c r="A63" s="91" t="str">
        <f t="array" ref="A63">IFERROR(INDEX('Annex 2 EHV charges'!$A$10:$A$259, MATCH(0, IF(ISBLANK('Annex 2 EHV charges'!$A$10:$A$259),1, COUNTIF(A$4:$A62, 'Annex 2 EHV charges'!$A$10:$A$259)), 0)),"")</f>
        <v>KENTI2</v>
      </c>
      <c r="B63" s="91">
        <f>IF($A63="","",VLOOKUP($A63,'Annex 2 EHV charges'!$A:$O,2,0))</f>
        <v>814</v>
      </c>
      <c r="C63" s="92">
        <f>IF($A63="","",VLOOKUP($A63,'Annex 2 EHV charges'!$A:$O,3,0))</f>
        <v>1900091199519</v>
      </c>
      <c r="D63" s="91" t="str">
        <f>IF($A63="","",VLOOKUP($A63,'Annex 2 EHV charges'!$A:$O,7,0))</f>
        <v>KENTI2</v>
      </c>
      <c r="E63" s="96">
        <f>IFERROR(IF(VLOOKUP($A63,'Annex 2 EHV charges'!$A:$O,8,FALSE)=0,"",VLOOKUP($A63,'Annex 2 EHV charges'!$A:$O,8,FALSE)),"")</f>
        <v>0.16</v>
      </c>
      <c r="F63" s="97">
        <f>IFERROR(IF(VLOOKUP($A63,'Annex 2 EHV charges'!$A:$O,9,FALSE)=0,"",VLOOKUP($A63,'Annex 2 EHV charges'!$A:$O,9,FALSE)),"")</f>
        <v>8.2799999999999994</v>
      </c>
      <c r="G63" s="98">
        <f>IFERROR(IF(VLOOKUP($A63,'Annex 2 EHV charges'!$A:$O,10,FALSE)=0,"",VLOOKUP($A63,'Annex 2 EHV charges'!$A:$O,10,FALSE)),"")</f>
        <v>0.9</v>
      </c>
      <c r="H63" s="98">
        <f>IFERROR(IF(VLOOKUP($A63,'Annex 2 EHV charges'!$A:$O,11,FALSE)=0,"",VLOOKUP($A63,'Annex 2 EHV charges'!$A:$O,11,FALSE)),"")</f>
        <v>0.9</v>
      </c>
    </row>
    <row r="64" spans="1:8" ht="12.75" customHeight="1" x14ac:dyDescent="0.2">
      <c r="A64" s="91" t="str">
        <f t="array" ref="A64">IFERROR(INDEX('Annex 2 EHV charges'!$A$10:$A$259, MATCH(0, IF(ISBLANK('Annex 2 EHV charges'!$A$10:$A$259),1, COUNTIF(A$4:$A63, 'Annex 2 EHV charges'!$A$10:$A$259)), 0)),"")</f>
        <v>KENTIS</v>
      </c>
      <c r="B64" s="91">
        <f>IF($A64="","",VLOOKUP($A64,'Annex 2 EHV charges'!$A:$O,2,0))</f>
        <v>877</v>
      </c>
      <c r="C64" s="92">
        <f>IF($A64="","",VLOOKUP($A64,'Annex 2 EHV charges'!$A:$O,3,0))</f>
        <v>1900070122273</v>
      </c>
      <c r="D64" s="91" t="str">
        <f>IF($A64="","",VLOOKUP($A64,'Annex 2 EHV charges'!$A:$O,7,0))</f>
        <v>KENTIS</v>
      </c>
      <c r="E64" s="96">
        <f>IFERROR(IF(VLOOKUP($A64,'Annex 2 EHV charges'!$A:$O,8,FALSE)=0,"",VLOOKUP($A64,'Annex 2 EHV charges'!$A:$O,8,FALSE)),"")</f>
        <v>0.16</v>
      </c>
      <c r="F64" s="97">
        <f>IFERROR(IF(VLOOKUP($A64,'Annex 2 EHV charges'!$A:$O,9,FALSE)=0,"",VLOOKUP($A64,'Annex 2 EHV charges'!$A:$O,9,FALSE)),"")</f>
        <v>6.82</v>
      </c>
      <c r="G64" s="98">
        <f>IFERROR(IF(VLOOKUP($A64,'Annex 2 EHV charges'!$A:$O,10,FALSE)=0,"",VLOOKUP($A64,'Annex 2 EHV charges'!$A:$O,10,FALSE)),"")</f>
        <v>0.93</v>
      </c>
      <c r="H64" s="98">
        <f>IFERROR(IF(VLOOKUP($A64,'Annex 2 EHV charges'!$A:$O,11,FALSE)=0,"",VLOOKUP($A64,'Annex 2 EHV charges'!$A:$O,11,FALSE)),"")</f>
        <v>0.93</v>
      </c>
    </row>
    <row r="65" spans="1:8" ht="12.75" customHeight="1" x14ac:dyDescent="0.2">
      <c r="A65" s="91" t="str">
        <f t="array" ref="A65">IFERROR(INDEX('Annex 2 EHV charges'!$A$10:$A$259, MATCH(0, IF(ISBLANK('Annex 2 EHV charges'!$A$10:$A$259),1, COUNTIF(A$4:$A64, 'Annex 2 EHV charges'!$A$10:$A$259)), 0)),"")</f>
        <v>KM3CHP</v>
      </c>
      <c r="B65" s="91">
        <f>IF($A65="","",VLOOKUP($A65,'Annex 2 EHV charges'!$A:$O,2,0))</f>
        <v>846</v>
      </c>
      <c r="C65" s="92">
        <f>IF($A65="","",VLOOKUP($A65,'Annex 2 EHV charges'!$A:$O,3,0))</f>
        <v>1900091669720</v>
      </c>
      <c r="D65" s="91" t="str">
        <f>IF($A65="","",VLOOKUP($A65,'Annex 2 EHV charges'!$A:$O,7,0))</f>
        <v>KM3CHP</v>
      </c>
      <c r="E65" s="96" t="str">
        <f>IFERROR(IF(VLOOKUP($A65,'Annex 2 EHV charges'!$A:$O,8,FALSE)=0,"",VLOOKUP($A65,'Annex 2 EHV charges'!$A:$O,8,FALSE)),"")</f>
        <v/>
      </c>
      <c r="F65" s="97">
        <f>IFERROR(IF(VLOOKUP($A65,'Annex 2 EHV charges'!$A:$O,9,FALSE)=0,"",VLOOKUP($A65,'Annex 2 EHV charges'!$A:$O,9,FALSE)),"")</f>
        <v>260.45999999999998</v>
      </c>
      <c r="G65" s="98">
        <f>IFERROR(IF(VLOOKUP($A65,'Annex 2 EHV charges'!$A:$O,10,FALSE)=0,"",VLOOKUP($A65,'Annex 2 EHV charges'!$A:$O,10,FALSE)),"")</f>
        <v>1.07</v>
      </c>
      <c r="H65" s="98">
        <f>IFERROR(IF(VLOOKUP($A65,'Annex 2 EHV charges'!$A:$O,11,FALSE)=0,"",VLOOKUP($A65,'Annex 2 EHV charges'!$A:$O,11,FALSE)),"")</f>
        <v>1.07</v>
      </c>
    </row>
    <row r="66" spans="1:8" ht="12.75" customHeight="1" x14ac:dyDescent="0.2">
      <c r="A66" s="91" t="str">
        <f t="array" ref="A66">IFERROR(INDEX('Annex 2 EHV charges'!$A$10:$A$259, MATCH(0, IF(ISBLANK('Annex 2 EHV charges'!$A$10:$A$259),1, COUNTIF(A$4:$A65, 'Annex 2 EHV charges'!$A$10:$A$259)), 0)),"")</f>
        <v>KNWLTN</v>
      </c>
      <c r="B66" s="91">
        <f>IF($A66="","",VLOOKUP($A66,'Annex 2 EHV charges'!$A:$O,2,0))</f>
        <v>803</v>
      </c>
      <c r="C66" s="92">
        <f>IF($A66="","",VLOOKUP($A66,'Annex 2 EHV charges'!$A:$O,3,0))</f>
        <v>1900091091930</v>
      </c>
      <c r="D66" s="91" t="str">
        <f>IF($A66="","",VLOOKUP($A66,'Annex 2 EHV charges'!$A:$O,7,0))</f>
        <v>KNWLTN</v>
      </c>
      <c r="E66" s="96">
        <f>IFERROR(IF(VLOOKUP($A66,'Annex 2 EHV charges'!$A:$O,8,FALSE)=0,"",VLOOKUP($A66,'Annex 2 EHV charges'!$A:$O,8,FALSE)),"")</f>
        <v>8.9999999999999993E-3</v>
      </c>
      <c r="F66" s="97">
        <f>IFERROR(IF(VLOOKUP($A66,'Annex 2 EHV charges'!$A:$O,9,FALSE)=0,"",VLOOKUP($A66,'Annex 2 EHV charges'!$A:$O,9,FALSE)),"")</f>
        <v>13.55</v>
      </c>
      <c r="G66" s="98">
        <f>IFERROR(IF(VLOOKUP($A66,'Annex 2 EHV charges'!$A:$O,10,FALSE)=0,"",VLOOKUP($A66,'Annex 2 EHV charges'!$A:$O,10,FALSE)),"")</f>
        <v>2.0099999999999998</v>
      </c>
      <c r="H66" s="98">
        <f>IFERROR(IF(VLOOKUP($A66,'Annex 2 EHV charges'!$A:$O,11,FALSE)=0,"",VLOOKUP($A66,'Annex 2 EHV charges'!$A:$O,11,FALSE)),"")</f>
        <v>2.0099999999999998</v>
      </c>
    </row>
    <row r="67" spans="1:8" ht="12.75" customHeight="1" x14ac:dyDescent="0.2">
      <c r="A67" s="91" t="str">
        <f t="array" ref="A67">IFERROR(INDEX('Annex 2 EHV charges'!$A$10:$A$259, MATCH(0, IF(ISBLANK('Annex 2 EHV charges'!$A$10:$A$259),1, COUNTIF(A$4:$A66, 'Annex 2 EHV charges'!$A$10:$A$259)), 0)),"")</f>
        <v>LBOURN</v>
      </c>
      <c r="B67" s="91">
        <f>IF($A67="","",VLOOKUP($A67,'Annex 2 EHV charges'!$A:$O,2,0))</f>
        <v>815</v>
      </c>
      <c r="C67" s="92">
        <f>IF($A67="","",VLOOKUP($A67,'Annex 2 EHV charges'!$A:$O,3,0))</f>
        <v>1900091171267</v>
      </c>
      <c r="D67" s="91" t="str">
        <f>IF($A67="","",VLOOKUP($A67,'Annex 2 EHV charges'!$A:$O,7,0))</f>
        <v>LBOURN</v>
      </c>
      <c r="E67" s="96">
        <f>IFERROR(IF(VLOOKUP($A67,'Annex 2 EHV charges'!$A:$O,8,FALSE)=0,"",VLOOKUP($A67,'Annex 2 EHV charges'!$A:$O,8,FALSE)),"")</f>
        <v>1E-3</v>
      </c>
      <c r="F67" s="97">
        <f>IFERROR(IF(VLOOKUP($A67,'Annex 2 EHV charges'!$A:$O,9,FALSE)=0,"",VLOOKUP($A67,'Annex 2 EHV charges'!$A:$O,9,FALSE)),"")</f>
        <v>7.86</v>
      </c>
      <c r="G67" s="98">
        <f>IFERROR(IF(VLOOKUP($A67,'Annex 2 EHV charges'!$A:$O,10,FALSE)=0,"",VLOOKUP($A67,'Annex 2 EHV charges'!$A:$O,10,FALSE)),"")</f>
        <v>2.0499999999999998</v>
      </c>
      <c r="H67" s="98">
        <f>IFERROR(IF(VLOOKUP($A67,'Annex 2 EHV charges'!$A:$O,11,FALSE)=0,"",VLOOKUP($A67,'Annex 2 EHV charges'!$A:$O,11,FALSE)),"")</f>
        <v>2.0499999999999998</v>
      </c>
    </row>
    <row r="68" spans="1:8" ht="12.75" customHeight="1" x14ac:dyDescent="0.2">
      <c r="A68" s="91" t="str">
        <f t="array" ref="A68">IFERROR(INDEX('Annex 2 EHV charges'!$A$10:$A$259, MATCH(0, IF(ISBLANK('Annex 2 EHV charges'!$A$10:$A$259),1, COUNTIF(A$4:$A67, 'Annex 2 EHV charges'!$A$10:$A$259)), 0)),"")</f>
        <v>LCHEYI</v>
      </c>
      <c r="B68" s="91">
        <f>IF($A68="","",VLOOKUP($A68,'Annex 2 EHV charges'!$A:$O,2,0))</f>
        <v>878</v>
      </c>
      <c r="C68" s="92">
        <f>IF($A68="","",VLOOKUP($A68,'Annex 2 EHV charges'!$A:$O,3,0))</f>
        <v>1900090194653</v>
      </c>
      <c r="D68" s="91" t="str">
        <f>IF($A68="","",VLOOKUP($A68,'Annex 2 EHV charges'!$A:$O,7,0))</f>
        <v>LCHEYI</v>
      </c>
      <c r="E68" s="96">
        <f>IFERROR(IF(VLOOKUP($A68,'Annex 2 EHV charges'!$A:$O,8,FALSE)=0,"",VLOOKUP($A68,'Annex 2 EHV charges'!$A:$O,8,FALSE)),"")</f>
        <v>6.0000000000000001E-3</v>
      </c>
      <c r="F68" s="97">
        <f>IFERROR(IF(VLOOKUP($A68,'Annex 2 EHV charges'!$A:$O,9,FALSE)=0,"",VLOOKUP($A68,'Annex 2 EHV charges'!$A:$O,9,FALSE)),"")</f>
        <v>5.87</v>
      </c>
      <c r="G68" s="98">
        <f>IFERROR(IF(VLOOKUP($A68,'Annex 2 EHV charges'!$A:$O,10,FALSE)=0,"",VLOOKUP($A68,'Annex 2 EHV charges'!$A:$O,10,FALSE)),"")</f>
        <v>1.1599999999999999</v>
      </c>
      <c r="H68" s="98">
        <f>IFERROR(IF(VLOOKUP($A68,'Annex 2 EHV charges'!$A:$O,11,FALSE)=0,"",VLOOKUP($A68,'Annex 2 EHV charges'!$A:$O,11,FALSE)),"")</f>
        <v>1.1599999999999999</v>
      </c>
    </row>
    <row r="69" spans="1:8" ht="12.75" customHeight="1" x14ac:dyDescent="0.2">
      <c r="A69" s="91" t="str">
        <f t="array" ref="A69">IFERROR(INDEX('Annex 2 EHV charges'!$A$10:$A$259, MATCH(0, IF(ISBLANK('Annex 2 EHV charges'!$A$10:$A$259),1, COUNTIF(A$4:$A68, 'Annex 2 EHV charges'!$A$10:$A$259)), 0)),"")</f>
        <v>LENHAM</v>
      </c>
      <c r="B69" s="91">
        <f>IF($A69="","",VLOOKUP($A69,'Annex 2 EHV charges'!$A:$O,2,0))</f>
        <v>808</v>
      </c>
      <c r="C69" s="92">
        <f>IF($A69="","",VLOOKUP($A69,'Annex 2 EHV charges'!$A:$O,3,0))</f>
        <v>1900091081560</v>
      </c>
      <c r="D69" s="91" t="str">
        <f>IF($A69="","",VLOOKUP($A69,'Annex 2 EHV charges'!$A:$O,7,0))</f>
        <v>LENHAM</v>
      </c>
      <c r="E69" s="96">
        <f>IFERROR(IF(VLOOKUP($A69,'Annex 2 EHV charges'!$A:$O,8,FALSE)=0,"",VLOOKUP($A69,'Annex 2 EHV charges'!$A:$O,8,FALSE)),"")</f>
        <v>9.5000000000000001E-2</v>
      </c>
      <c r="F69" s="97">
        <f>IFERROR(IF(VLOOKUP($A69,'Annex 2 EHV charges'!$A:$O,9,FALSE)=0,"",VLOOKUP($A69,'Annex 2 EHV charges'!$A:$O,9,FALSE)),"")</f>
        <v>12.81</v>
      </c>
      <c r="G69" s="98">
        <f>IFERROR(IF(VLOOKUP($A69,'Annex 2 EHV charges'!$A:$O,10,FALSE)=0,"",VLOOKUP($A69,'Annex 2 EHV charges'!$A:$O,10,FALSE)),"")</f>
        <v>2.9</v>
      </c>
      <c r="H69" s="98">
        <f>IFERROR(IF(VLOOKUP($A69,'Annex 2 EHV charges'!$A:$O,11,FALSE)=0,"",VLOOKUP($A69,'Annex 2 EHV charges'!$A:$O,11,FALSE)),"")</f>
        <v>2.9</v>
      </c>
    </row>
    <row r="70" spans="1:8" ht="12.75" customHeight="1" x14ac:dyDescent="0.2">
      <c r="A70" s="91" t="str">
        <f t="array" ref="A70">IFERROR(INDEX('Annex 2 EHV charges'!$A$10:$A$259, MATCH(0, IF(ISBLANK('Annex 2 EHV charges'!$A$10:$A$259),1, COUNTIF(A$4:$A69, 'Annex 2 EHV charges'!$A$10:$A$259)), 0)),"")</f>
        <v>LGHTON</v>
      </c>
      <c r="B70" s="91">
        <f>IF($A70="","",VLOOKUP($A70,'Annex 2 EHV charges'!$A:$O,2,0))</f>
        <v>816</v>
      </c>
      <c r="C70" s="92">
        <f>IF($A70="","",VLOOKUP($A70,'Annex 2 EHV charges'!$A:$O,3,0))</f>
        <v>1900091200138</v>
      </c>
      <c r="D70" s="91" t="str">
        <f>IF($A70="","",VLOOKUP($A70,'Annex 2 EHV charges'!$A:$O,7,0))</f>
        <v>LGHTON</v>
      </c>
      <c r="E70" s="96">
        <f>IFERROR(IF(VLOOKUP($A70,'Annex 2 EHV charges'!$A:$O,8,FALSE)=0,"",VLOOKUP($A70,'Annex 2 EHV charges'!$A:$O,8,FALSE)),"")</f>
        <v>1.1279999999999999</v>
      </c>
      <c r="F70" s="97">
        <f>IFERROR(IF(VLOOKUP($A70,'Annex 2 EHV charges'!$A:$O,9,FALSE)=0,"",VLOOKUP($A70,'Annex 2 EHV charges'!$A:$O,9,FALSE)),"")</f>
        <v>10.99</v>
      </c>
      <c r="G70" s="98">
        <f>IFERROR(IF(VLOOKUP($A70,'Annex 2 EHV charges'!$A:$O,10,FALSE)=0,"",VLOOKUP($A70,'Annex 2 EHV charges'!$A:$O,10,FALSE)),"")</f>
        <v>2.08</v>
      </c>
      <c r="H70" s="98">
        <f>IFERROR(IF(VLOOKUP($A70,'Annex 2 EHV charges'!$A:$O,11,FALSE)=0,"",VLOOKUP($A70,'Annex 2 EHV charges'!$A:$O,11,FALSE)),"")</f>
        <v>2.08</v>
      </c>
    </row>
    <row r="71" spans="1:8" ht="12.75" customHeight="1" x14ac:dyDescent="0.2">
      <c r="A71" s="91" t="str">
        <f t="array" ref="A71">IFERROR(INDEX('Annex 2 EHV charges'!$A$10:$A$259, MATCH(0, IF(ISBLANK('Annex 2 EHV charges'!$A$10:$A$259),1, COUNTIF(A$4:$A70, 'Annex 2 EHV charges'!$A$10:$A$259)), 0)),"")</f>
        <v>MARSHB</v>
      </c>
      <c r="B71" s="91">
        <f>IF($A71="","",VLOOKUP($A71,'Annex 2 EHV charges'!$A:$O,2,0))</f>
        <v>896</v>
      </c>
      <c r="C71" s="92">
        <f>IF($A71="","",VLOOKUP($A71,'Annex 2 EHV charges'!$A:$O,3,0))</f>
        <v>1900091310596</v>
      </c>
      <c r="D71" s="91" t="str">
        <f>IF($A71="","",VLOOKUP($A71,'Annex 2 EHV charges'!$A:$O,7,0))</f>
        <v>MARSHB</v>
      </c>
      <c r="E71" s="96">
        <f>IFERROR(IF(VLOOKUP($A71,'Annex 2 EHV charges'!$A:$O,8,FALSE)=0,"",VLOOKUP($A71,'Annex 2 EHV charges'!$A:$O,8,FALSE)),"")</f>
        <v>5.8999999999999997E-2</v>
      </c>
      <c r="F71" s="97">
        <f>IFERROR(IF(VLOOKUP($A71,'Annex 2 EHV charges'!$A:$O,9,FALSE)=0,"",VLOOKUP($A71,'Annex 2 EHV charges'!$A:$O,9,FALSE)),"")</f>
        <v>20.03</v>
      </c>
      <c r="G71" s="98">
        <f>IFERROR(IF(VLOOKUP($A71,'Annex 2 EHV charges'!$A:$O,10,FALSE)=0,"",VLOOKUP($A71,'Annex 2 EHV charges'!$A:$O,10,FALSE)),"")</f>
        <v>1.82</v>
      </c>
      <c r="H71" s="98">
        <f>IFERROR(IF(VLOOKUP($A71,'Annex 2 EHV charges'!$A:$O,11,FALSE)=0,"",VLOOKUP($A71,'Annex 2 EHV charges'!$A:$O,11,FALSE)),"")</f>
        <v>1.82</v>
      </c>
    </row>
    <row r="72" spans="1:8" ht="12.75" customHeight="1" x14ac:dyDescent="0.2">
      <c r="A72" s="91" t="str">
        <f t="array" ref="A72">IFERROR(INDEX('Annex 2 EHV charges'!$A$10:$A$259, MATCH(0, IF(ISBLANK('Annex 2 EHV charges'!$A$10:$A$259),1, COUNTIF(A$4:$A71, 'Annex 2 EHV charges'!$A$10:$A$259)), 0)),"")</f>
        <v>MLEHLL</v>
      </c>
      <c r="B72" s="91">
        <f>IF($A72="","",VLOOKUP($A72,'Annex 2 EHV charges'!$A:$O,2,0))</f>
        <v>819</v>
      </c>
      <c r="C72" s="92">
        <f>IF($A72="","",VLOOKUP($A72,'Annex 2 EHV charges'!$A:$O,3,0))</f>
        <v>1900091183402</v>
      </c>
      <c r="D72" s="91" t="str">
        <f>IF($A72="","",VLOOKUP($A72,'Annex 2 EHV charges'!$A:$O,7,0))</f>
        <v>MLEHLL</v>
      </c>
      <c r="E72" s="96">
        <f>IFERROR(IF(VLOOKUP($A72,'Annex 2 EHV charges'!$A:$O,8,FALSE)=0,"",VLOOKUP($A72,'Annex 2 EHV charges'!$A:$O,8,FALSE)),"")</f>
        <v>0.21099999999999999</v>
      </c>
      <c r="F72" s="97">
        <f>IFERROR(IF(VLOOKUP($A72,'Annex 2 EHV charges'!$A:$O,9,FALSE)=0,"",VLOOKUP($A72,'Annex 2 EHV charges'!$A:$O,9,FALSE)),"")</f>
        <v>2.4900000000000002</v>
      </c>
      <c r="G72" s="98">
        <f>IFERROR(IF(VLOOKUP($A72,'Annex 2 EHV charges'!$A:$O,10,FALSE)=0,"",VLOOKUP($A72,'Annex 2 EHV charges'!$A:$O,10,FALSE)),"")</f>
        <v>1.79</v>
      </c>
      <c r="H72" s="98">
        <f>IFERROR(IF(VLOOKUP($A72,'Annex 2 EHV charges'!$A:$O,11,FALSE)=0,"",VLOOKUP($A72,'Annex 2 EHV charges'!$A:$O,11,FALSE)),"")</f>
        <v>1.79</v>
      </c>
    </row>
    <row r="73" spans="1:8" ht="12.75" customHeight="1" x14ac:dyDescent="0.2">
      <c r="A73" s="91" t="str">
        <f t="array" ref="A73">IFERROR(INDEX('Annex 2 EHV charges'!$A$10:$A$259, MATCH(0, IF(ISBLANK('Annex 2 EHV charges'!$A$10:$A$259),1, COUNTIF(A$4:$A72, 'Annex 2 EHV charges'!$A$10:$A$259)), 0)),"")</f>
        <v>MLMAYN</v>
      </c>
      <c r="B73" s="91">
        <f>IF($A73="","",VLOOKUP($A73,'Annex 2 EHV charges'!$A:$O,2,0))</f>
        <v>817</v>
      </c>
      <c r="C73" s="92">
        <f>IF($A73="","",VLOOKUP($A73,'Annex 2 EHV charges'!$A:$O,3,0))</f>
        <v>1900091079241</v>
      </c>
      <c r="D73" s="91" t="str">
        <f>IF($A73="","",VLOOKUP($A73,'Annex 2 EHV charges'!$A:$O,7,0))</f>
        <v>MLMAYN</v>
      </c>
      <c r="E73" s="96">
        <f>IFERROR(IF(VLOOKUP($A73,'Annex 2 EHV charges'!$A:$O,8,FALSE)=0,"",VLOOKUP($A73,'Annex 2 EHV charges'!$A:$O,8,FALSE)),"")</f>
        <v>0.25800000000000001</v>
      </c>
      <c r="F73" s="97">
        <f>IFERROR(IF(VLOOKUP($A73,'Annex 2 EHV charges'!$A:$O,9,FALSE)=0,"",VLOOKUP($A73,'Annex 2 EHV charges'!$A:$O,9,FALSE)),"")</f>
        <v>1.37</v>
      </c>
      <c r="G73" s="98">
        <f>IFERROR(IF(VLOOKUP($A73,'Annex 2 EHV charges'!$A:$O,10,FALSE)=0,"",VLOOKUP($A73,'Annex 2 EHV charges'!$A:$O,10,FALSE)),"")</f>
        <v>3.47</v>
      </c>
      <c r="H73" s="98">
        <f>IFERROR(IF(VLOOKUP($A73,'Annex 2 EHV charges'!$A:$O,11,FALSE)=0,"",VLOOKUP($A73,'Annex 2 EHV charges'!$A:$O,11,FALSE)),"")</f>
        <v>3.47</v>
      </c>
    </row>
    <row r="74" spans="1:8" ht="12.75" customHeight="1" x14ac:dyDescent="0.2">
      <c r="A74" s="91" t="str">
        <f t="array" ref="A74">IFERROR(INDEX('Annex 2 EHV charges'!$A$10:$A$259, MATCH(0, IF(ISBLANK('Annex 2 EHV charges'!$A$10:$A$259),1, COUNTIF(A$4:$A73, 'Annex 2 EHV charges'!$A$10:$A$259)), 0)),"")</f>
        <v>MVVRID</v>
      </c>
      <c r="B74" s="91">
        <f>IF($A74="","",VLOOKUP($A74,'Annex 2 EHV charges'!$A:$O,2,0))</f>
        <v>897</v>
      </c>
      <c r="C74" s="92">
        <f>IF($A74="","",VLOOKUP($A74,'Annex 2 EHV charges'!$A:$O,3,0))</f>
        <v>1900091199138</v>
      </c>
      <c r="D74" s="91" t="str">
        <f>IF($A74="","",VLOOKUP($A74,'Annex 2 EHV charges'!$A:$O,7,0))</f>
        <v>MVVRID</v>
      </c>
      <c r="E74" s="96" t="str">
        <f>IFERROR(IF(VLOOKUP($A74,'Annex 2 EHV charges'!$A:$O,8,FALSE)=0,"",VLOOKUP($A74,'Annex 2 EHV charges'!$A:$O,8,FALSE)),"")</f>
        <v/>
      </c>
      <c r="F74" s="97">
        <f>IFERROR(IF(VLOOKUP($A74,'Annex 2 EHV charges'!$A:$O,9,FALSE)=0,"",VLOOKUP($A74,'Annex 2 EHV charges'!$A:$O,9,FALSE)),"")</f>
        <v>1005.02</v>
      </c>
      <c r="G74" s="98">
        <f>IFERROR(IF(VLOOKUP($A74,'Annex 2 EHV charges'!$A:$O,10,FALSE)=0,"",VLOOKUP($A74,'Annex 2 EHV charges'!$A:$O,10,FALSE)),"")</f>
        <v>1.08</v>
      </c>
      <c r="H74" s="98">
        <f>IFERROR(IF(VLOOKUP($A74,'Annex 2 EHV charges'!$A:$O,11,FALSE)=0,"",VLOOKUP($A74,'Annex 2 EHV charges'!$A:$O,11,FALSE)),"")</f>
        <v>1.08</v>
      </c>
    </row>
    <row r="75" spans="1:8" ht="12.75" customHeight="1" x14ac:dyDescent="0.2">
      <c r="A75" s="91" t="str">
        <f t="array" ref="A75">IFERROR(INDEX('Annex 2 EHV charges'!$A$10:$A$259, MATCH(0, IF(ISBLANK('Annex 2 EHV charges'!$A$10:$A$259),1, COUNTIF(A$4:$A74, 'Annex 2 EHV charges'!$A$10:$A$259)), 0)),"")</f>
        <v>NEWHVN</v>
      </c>
      <c r="B75" s="91">
        <f>IF($A75="","",VLOOKUP($A75,'Annex 2 EHV charges'!$A:$O,2,0))</f>
        <v>800</v>
      </c>
      <c r="C75" s="92">
        <f>IF($A75="","",VLOOKUP($A75,'Annex 2 EHV charges'!$A:$O,3,0))</f>
        <v>1900090585014</v>
      </c>
      <c r="D75" s="91" t="str">
        <f>IF($A75="","",VLOOKUP($A75,'Annex 2 EHV charges'!$A:$O,7,0))</f>
        <v>NEWHVN</v>
      </c>
      <c r="E75" s="96">
        <f>IFERROR(IF(VLOOKUP($A75,'Annex 2 EHV charges'!$A:$O,8,FALSE)=0,"",VLOOKUP($A75,'Annex 2 EHV charges'!$A:$O,8,FALSE)),"")</f>
        <v>0.60599999999999998</v>
      </c>
      <c r="F75" s="97">
        <f>IFERROR(IF(VLOOKUP($A75,'Annex 2 EHV charges'!$A:$O,9,FALSE)=0,"",VLOOKUP($A75,'Annex 2 EHV charges'!$A:$O,9,FALSE)),"")</f>
        <v>39.229999999999997</v>
      </c>
      <c r="G75" s="98">
        <f>IFERROR(IF(VLOOKUP($A75,'Annex 2 EHV charges'!$A:$O,10,FALSE)=0,"",VLOOKUP($A75,'Annex 2 EHV charges'!$A:$O,10,FALSE)),"")</f>
        <v>1.24</v>
      </c>
      <c r="H75" s="98">
        <f>IFERROR(IF(VLOOKUP($A75,'Annex 2 EHV charges'!$A:$O,11,FALSE)=0,"",VLOOKUP($A75,'Annex 2 EHV charges'!$A:$O,11,FALSE)),"")</f>
        <v>1.24</v>
      </c>
    </row>
    <row r="76" spans="1:8" ht="12.75" customHeight="1" x14ac:dyDescent="0.2">
      <c r="A76" s="91" t="str">
        <f t="array" ref="A76">IFERROR(INDEX('Annex 2 EHV charges'!$A$10:$A$259, MATCH(0, IF(ISBLANK('Annex 2 EHV charges'!$A$10:$A$259),1, COUNTIF(A$4:$A75, 'Annex 2 EHV charges'!$A$10:$A$259)), 0)),"")</f>
        <v>NEWRID</v>
      </c>
      <c r="B76" s="91">
        <f>IF($A76="","",VLOOKUP($A76,'Annex 2 EHV charges'!$A:$O,2,0))</f>
        <v>845</v>
      </c>
      <c r="C76" s="92">
        <f>IF($A76="","",VLOOKUP($A76,'Annex 2 EHV charges'!$A:$O,3,0))</f>
        <v>1900091718313</v>
      </c>
      <c r="D76" s="91" t="str">
        <f>IF($A76="","",VLOOKUP($A76,'Annex 2 EHV charges'!$A:$O,7,0))</f>
        <v>NEWRID</v>
      </c>
      <c r="E76" s="96" t="str">
        <f>IFERROR(IF(VLOOKUP($A76,'Annex 2 EHV charges'!$A:$O,8,FALSE)=0,"",VLOOKUP($A76,'Annex 2 EHV charges'!$A:$O,8,FALSE)),"")</f>
        <v/>
      </c>
      <c r="F76" s="97">
        <f>IFERROR(IF(VLOOKUP($A76,'Annex 2 EHV charges'!$A:$O,9,FALSE)=0,"",VLOOKUP($A76,'Annex 2 EHV charges'!$A:$O,9,FALSE)),"")</f>
        <v>3.51</v>
      </c>
      <c r="G76" s="98">
        <f>IFERROR(IF(VLOOKUP($A76,'Annex 2 EHV charges'!$A:$O,10,FALSE)=0,"",VLOOKUP($A76,'Annex 2 EHV charges'!$A:$O,10,FALSE)),"")</f>
        <v>2.2000000000000002</v>
      </c>
      <c r="H76" s="98">
        <f>IFERROR(IF(VLOOKUP($A76,'Annex 2 EHV charges'!$A:$O,11,FALSE)=0,"",VLOOKUP($A76,'Annex 2 EHV charges'!$A:$O,11,FALSE)),"")</f>
        <v>2.2000000000000002</v>
      </c>
    </row>
    <row r="77" spans="1:8" ht="12.75" customHeight="1" x14ac:dyDescent="0.2">
      <c r="A77" s="91" t="str">
        <f t="array" ref="A77">IFERROR(INDEX('Annex 2 EHV charges'!$A$10:$A$259, MATCH(0, IF(ISBLANK('Annex 2 EHV charges'!$A$10:$A$259),1, COUNTIF(A$4:$A76, 'Annex 2 EHV charges'!$A$10:$A$259)), 0)),"")</f>
        <v>OAKLND</v>
      </c>
      <c r="B77" s="91">
        <f>IF($A77="","",VLOOKUP($A77,'Annex 2 EHV charges'!$A:$O,2,0))</f>
        <v>820</v>
      </c>
      <c r="C77" s="92">
        <f>IF($A77="","",VLOOKUP($A77,'Annex 2 EHV charges'!$A:$O,3,0))</f>
        <v>1900091197414</v>
      </c>
      <c r="D77" s="91" t="str">
        <f>IF($A77="","",VLOOKUP($A77,'Annex 2 EHV charges'!$A:$O,7,0))</f>
        <v>OAKLND</v>
      </c>
      <c r="E77" s="96">
        <f>IFERROR(IF(VLOOKUP($A77,'Annex 2 EHV charges'!$A:$O,8,FALSE)=0,"",VLOOKUP($A77,'Annex 2 EHV charges'!$A:$O,8,FALSE)),"")</f>
        <v>0.10199999999999999</v>
      </c>
      <c r="F77" s="97">
        <f>IFERROR(IF(VLOOKUP($A77,'Annex 2 EHV charges'!$A:$O,9,FALSE)=0,"",VLOOKUP($A77,'Annex 2 EHV charges'!$A:$O,9,FALSE)),"")</f>
        <v>5.72</v>
      </c>
      <c r="G77" s="98">
        <f>IFERROR(IF(VLOOKUP($A77,'Annex 2 EHV charges'!$A:$O,10,FALSE)=0,"",VLOOKUP($A77,'Annex 2 EHV charges'!$A:$O,10,FALSE)),"")</f>
        <v>2.34</v>
      </c>
      <c r="H77" s="98">
        <f>IFERROR(IF(VLOOKUP($A77,'Annex 2 EHV charges'!$A:$O,11,FALSE)=0,"",VLOOKUP($A77,'Annex 2 EHV charges'!$A:$O,11,FALSE)),"")</f>
        <v>2.34</v>
      </c>
    </row>
    <row r="78" spans="1:8" ht="12.75" customHeight="1" x14ac:dyDescent="0.2">
      <c r="A78" s="91" t="str">
        <f t="array" ref="A78">IFERROR(INDEX('Annex 2 EHV charges'!$A$10:$A$259, MATCH(0, IF(ISBLANK('Annex 2 EHV charges'!$A$10:$A$259),1, COUNTIF(A$4:$A77, 'Annex 2 EHV charges'!$A$10:$A$259)), 0)),"")</f>
        <v>OLDRSF</v>
      </c>
      <c r="B78" s="91">
        <f>IF($A78="","",VLOOKUP($A78,'Annex 2 EHV charges'!$A:$O,2,0))</f>
        <v>805</v>
      </c>
      <c r="C78" s="92">
        <f>IF($A78="","",VLOOKUP($A78,'Annex 2 EHV charges'!$A:$O,3,0))</f>
        <v>1900091024517</v>
      </c>
      <c r="D78" s="91" t="str">
        <f>IF($A78="","",VLOOKUP($A78,'Annex 2 EHV charges'!$A:$O,7,0))</f>
        <v>OLDRSF</v>
      </c>
      <c r="E78" s="96">
        <f>IFERROR(IF(VLOOKUP($A78,'Annex 2 EHV charges'!$A:$O,8,FALSE)=0,"",VLOOKUP($A78,'Annex 2 EHV charges'!$A:$O,8,FALSE)),"")</f>
        <v>2E-3</v>
      </c>
      <c r="F78" s="97">
        <f>IFERROR(IF(VLOOKUP($A78,'Annex 2 EHV charges'!$A:$O,9,FALSE)=0,"",VLOOKUP($A78,'Annex 2 EHV charges'!$A:$O,9,FALSE)),"")</f>
        <v>4.13</v>
      </c>
      <c r="G78" s="98">
        <f>IFERROR(IF(VLOOKUP($A78,'Annex 2 EHV charges'!$A:$O,10,FALSE)=0,"",VLOOKUP($A78,'Annex 2 EHV charges'!$A:$O,10,FALSE)),"")</f>
        <v>2.59</v>
      </c>
      <c r="H78" s="98">
        <f>IFERROR(IF(VLOOKUP($A78,'Annex 2 EHV charges'!$A:$O,11,FALSE)=0,"",VLOOKUP($A78,'Annex 2 EHV charges'!$A:$O,11,FALSE)),"")</f>
        <v>2.59</v>
      </c>
    </row>
    <row r="79" spans="1:8" ht="12.75" customHeight="1" x14ac:dyDescent="0.2">
      <c r="A79" s="91" t="str">
        <f t="array" ref="A79">IFERROR(INDEX('Annex 2 EHV charges'!$A$10:$A$259, MATCH(0, IF(ISBLANK('Annex 2 EHV charges'!$A$10:$A$259),1, COUNTIF(A$4:$A78, 'Annex 2 EHV charges'!$A$10:$A$259)), 0)),"")</f>
        <v>ORCHRD</v>
      </c>
      <c r="B79" s="91">
        <f>IF($A79="","",VLOOKUP($A79,'Annex 2 EHV charges'!$A:$O,2,0))</f>
        <v>898</v>
      </c>
      <c r="C79" s="92" t="str">
        <f>IF($A79="","",VLOOKUP($A79,'Annex 2 EHV charges'!$A:$O,3,0))</f>
        <v>1900091085120
1900091473662</v>
      </c>
      <c r="D79" s="91" t="str">
        <f>IF($A79="","",VLOOKUP($A79,'Annex 2 EHV charges'!$A:$O,7,0))</f>
        <v>ORCHRD</v>
      </c>
      <c r="E79" s="96">
        <f>IFERROR(IF(VLOOKUP($A79,'Annex 2 EHV charges'!$A:$O,8,FALSE)=0,"",VLOOKUP($A79,'Annex 2 EHV charges'!$A:$O,8,FALSE)),"")</f>
        <v>2E-3</v>
      </c>
      <c r="F79" s="97">
        <f>IFERROR(IF(VLOOKUP($A79,'Annex 2 EHV charges'!$A:$O,9,FALSE)=0,"",VLOOKUP($A79,'Annex 2 EHV charges'!$A:$O,9,FALSE)),"")</f>
        <v>5.19</v>
      </c>
      <c r="G79" s="98">
        <f>IFERROR(IF(VLOOKUP($A79,'Annex 2 EHV charges'!$A:$O,10,FALSE)=0,"",VLOOKUP($A79,'Annex 2 EHV charges'!$A:$O,10,FALSE)),"")</f>
        <v>2.56</v>
      </c>
      <c r="H79" s="98">
        <f>IFERROR(IF(VLOOKUP($A79,'Annex 2 EHV charges'!$A:$O,11,FALSE)=0,"",VLOOKUP($A79,'Annex 2 EHV charges'!$A:$O,11,FALSE)),"")</f>
        <v>2.56</v>
      </c>
    </row>
    <row r="80" spans="1:8" ht="12.75" customHeight="1" x14ac:dyDescent="0.2">
      <c r="A80" s="91" t="str">
        <f t="array" ref="A80">IFERROR(INDEX('Annex 2 EHV charges'!$A$10:$A$259, MATCH(0, IF(ISBLANK('Annex 2 EHV charges'!$A$10:$A$259),1, COUNTIF(A$4:$A79, 'Annex 2 EHV charges'!$A$10:$A$259)), 0)),"")</f>
        <v>ORCHR2</v>
      </c>
      <c r="B80" s="91">
        <f>IF($A80="","",VLOOKUP($A80,'Annex 2 EHV charges'!$A:$O,2,0))</f>
        <v>898</v>
      </c>
      <c r="C80" s="92" t="str">
        <f>IF($A80="","",VLOOKUP($A80,'Annex 2 EHV charges'!$A:$O,3,0))</f>
        <v>1900091349715
1900091349706</v>
      </c>
      <c r="D80" s="91" t="str">
        <f>IF($A80="","",VLOOKUP($A80,'Annex 2 EHV charges'!$A:$O,7,0))</f>
        <v>ORCHRD</v>
      </c>
      <c r="E80" s="96">
        <f>IFERROR(IF(VLOOKUP($A80,'Annex 2 EHV charges'!$A:$O,8,FALSE)=0,"",VLOOKUP($A80,'Annex 2 EHV charges'!$A:$O,8,FALSE)),"")</f>
        <v>2E-3</v>
      </c>
      <c r="F80" s="97" t="str">
        <f>IFERROR(IF(VLOOKUP($A80,'Annex 2 EHV charges'!$A:$O,9,FALSE)=0,"",VLOOKUP($A80,'Annex 2 EHV charges'!$A:$O,9,FALSE)),"")</f>
        <v/>
      </c>
      <c r="G80" s="98" t="str">
        <f>IFERROR(IF(VLOOKUP($A80,'Annex 2 EHV charges'!$A:$O,10,FALSE)=0,"",VLOOKUP($A80,'Annex 2 EHV charges'!$A:$O,10,FALSE)),"")</f>
        <v/>
      </c>
      <c r="H80" s="98" t="str">
        <f>IFERROR(IF(VLOOKUP($A80,'Annex 2 EHV charges'!$A:$O,11,FALSE)=0,"",VLOOKUP($A80,'Annex 2 EHV charges'!$A:$O,11,FALSE)),"")</f>
        <v/>
      </c>
    </row>
    <row r="81" spans="1:8" ht="12.75" customHeight="1" x14ac:dyDescent="0.2">
      <c r="A81" s="91" t="str">
        <f t="array" ref="A81">IFERROR(INDEX('Annex 2 EHV charges'!$A$10:$A$259, MATCH(0, IF(ISBLANK('Annex 2 EHV charges'!$A$10:$A$259),1, COUNTIF(A$4:$A80, 'Annex 2 EHV charges'!$A$10:$A$259)), 0)),"")</f>
        <v>PADWSF</v>
      </c>
      <c r="B81" s="91">
        <f>IF($A81="","",VLOOKUP($A81,'Annex 2 EHV charges'!$A:$O,2,0))</f>
        <v>822</v>
      </c>
      <c r="C81" s="92">
        <f>IF($A81="","",VLOOKUP($A81,'Annex 2 EHV charges'!$A:$O,3,0))</f>
        <v>1900091216634</v>
      </c>
      <c r="D81" s="91" t="str">
        <f>IF($A81="","",VLOOKUP($A81,'Annex 2 EHV charges'!$A:$O,7,0))</f>
        <v>PADWSF</v>
      </c>
      <c r="E81" s="96">
        <f>IFERROR(IF(VLOOKUP($A81,'Annex 2 EHV charges'!$A:$O,8,FALSE)=0,"",VLOOKUP($A81,'Annex 2 EHV charges'!$A:$O,8,FALSE)),"")</f>
        <v>0.59</v>
      </c>
      <c r="F81" s="97">
        <f>IFERROR(IF(VLOOKUP($A81,'Annex 2 EHV charges'!$A:$O,9,FALSE)=0,"",VLOOKUP($A81,'Annex 2 EHV charges'!$A:$O,9,FALSE)),"")</f>
        <v>4.34</v>
      </c>
      <c r="G81" s="98">
        <f>IFERROR(IF(VLOOKUP($A81,'Annex 2 EHV charges'!$A:$O,10,FALSE)=0,"",VLOOKUP($A81,'Annex 2 EHV charges'!$A:$O,10,FALSE)),"")</f>
        <v>1.99</v>
      </c>
      <c r="H81" s="98">
        <f>IFERROR(IF(VLOOKUP($A81,'Annex 2 EHV charges'!$A:$O,11,FALSE)=0,"",VLOOKUP($A81,'Annex 2 EHV charges'!$A:$O,11,FALSE)),"")</f>
        <v>1.99</v>
      </c>
    </row>
    <row r="82" spans="1:8" ht="12.75" customHeight="1" x14ac:dyDescent="0.2">
      <c r="A82" s="91" t="str">
        <f t="array" ref="A82">IFERROR(INDEX('Annex 2 EHV charges'!$A$10:$A$259, MATCH(0, IF(ISBLANK('Annex 2 EHV charges'!$A$10:$A$259),1, COUNTIF(A$4:$A81, 'Annex 2 EHV charges'!$A$10:$A$259)), 0)),"")</f>
        <v>POSHWF</v>
      </c>
      <c r="B82" s="91">
        <f>IF($A82="","",VLOOKUP($A82,'Annex 2 EHV charges'!$A:$O,2,0))</f>
        <v>827</v>
      </c>
      <c r="C82" s="92">
        <f>IF($A82="","",VLOOKUP($A82,'Annex 2 EHV charges'!$A:$O,3,0))</f>
        <v>1900091227307</v>
      </c>
      <c r="D82" s="91" t="str">
        <f>IF($A82="","",VLOOKUP($A82,'Annex 2 EHV charges'!$A:$O,7,0))</f>
        <v>POSHWF</v>
      </c>
      <c r="E82" s="96" t="str">
        <f>IFERROR(IF(VLOOKUP($A82,'Annex 2 EHV charges'!$A:$O,8,FALSE)=0,"",VLOOKUP($A82,'Annex 2 EHV charges'!$A:$O,8,FALSE)),"")</f>
        <v/>
      </c>
      <c r="F82" s="97">
        <f>IFERROR(IF(VLOOKUP($A82,'Annex 2 EHV charges'!$A:$O,9,FALSE)=0,"",VLOOKUP($A82,'Annex 2 EHV charges'!$A:$O,9,FALSE)),"")</f>
        <v>6.15</v>
      </c>
      <c r="G82" s="98">
        <f>IFERROR(IF(VLOOKUP($A82,'Annex 2 EHV charges'!$A:$O,10,FALSE)=0,"",VLOOKUP($A82,'Annex 2 EHV charges'!$A:$O,10,FALSE)),"")</f>
        <v>1.26</v>
      </c>
      <c r="H82" s="98">
        <f>IFERROR(IF(VLOOKUP($A82,'Annex 2 EHV charges'!$A:$O,11,FALSE)=0,"",VLOOKUP($A82,'Annex 2 EHV charges'!$A:$O,11,FALSE)),"")</f>
        <v>1.26</v>
      </c>
    </row>
    <row r="83" spans="1:8" ht="12.75" customHeight="1" x14ac:dyDescent="0.2">
      <c r="A83" s="91" t="str">
        <f t="array" ref="A83">IFERROR(INDEX('Annex 2 EHV charges'!$A$10:$A$259, MATCH(0, IF(ISBLANK('Annex 2 EHV charges'!$A$10:$A$259),1, COUNTIF(A$4:$A82, 'Annex 2 EHV charges'!$A$10:$A$259)), 0)),"")</f>
        <v>PRIORS</v>
      </c>
      <c r="B83" s="91">
        <f>IF($A83="","",VLOOKUP($A83,'Annex 2 EHV charges'!$A:$O,2,0))</f>
        <v>899</v>
      </c>
      <c r="C83" s="92">
        <f>IF($A83="","",VLOOKUP($A83,'Annex 2 EHV charges'!$A:$O,3,0))</f>
        <v>1900091319942</v>
      </c>
      <c r="D83" s="91" t="str">
        <f>IF($A83="","",VLOOKUP($A83,'Annex 2 EHV charges'!$A:$O,7,0))</f>
        <v>PRIORS</v>
      </c>
      <c r="E83" s="96" t="str">
        <f>IFERROR(IF(VLOOKUP($A83,'Annex 2 EHV charges'!$A:$O,8,FALSE)=0,"",VLOOKUP($A83,'Annex 2 EHV charges'!$A:$O,8,FALSE)),"")</f>
        <v/>
      </c>
      <c r="F83" s="97">
        <f>IFERROR(IF(VLOOKUP($A83,'Annex 2 EHV charges'!$A:$O,9,FALSE)=0,"",VLOOKUP($A83,'Annex 2 EHV charges'!$A:$O,9,FALSE)),"")</f>
        <v>4.3099999999999996</v>
      </c>
      <c r="G83" s="98">
        <f>IFERROR(IF(VLOOKUP($A83,'Annex 2 EHV charges'!$A:$O,10,FALSE)=0,"",VLOOKUP($A83,'Annex 2 EHV charges'!$A:$O,10,FALSE)),"")</f>
        <v>2.14</v>
      </c>
      <c r="H83" s="98">
        <f>IFERROR(IF(VLOOKUP($A83,'Annex 2 EHV charges'!$A:$O,11,FALSE)=0,"",VLOOKUP($A83,'Annex 2 EHV charges'!$A:$O,11,FALSE)),"")</f>
        <v>2.14</v>
      </c>
    </row>
    <row r="84" spans="1:8" ht="12.75" customHeight="1" x14ac:dyDescent="0.2">
      <c r="A84" s="91" t="str">
        <f t="array" ref="A84">IFERROR(INDEX('Annex 2 EHV charges'!$A$10:$A$259, MATCH(0, IF(ISBLANK('Annex 2 EHV charges'!$A$10:$A$259),1, COUNTIF(A$4:$A83, 'Annex 2 EHV charges'!$A$10:$A$259)), 0)),"")</f>
        <v>PSHLEY</v>
      </c>
      <c r="B84" s="91">
        <f>IF($A84="","",VLOOKUP($A84,'Annex 2 EHV charges'!$A:$O,2,0))</f>
        <v>826</v>
      </c>
      <c r="C84" s="92">
        <f>IF($A84="","",VLOOKUP($A84,'Annex 2 EHV charges'!$A:$O,3,0))</f>
        <v>1900091178954</v>
      </c>
      <c r="D84" s="91" t="str">
        <f>IF($A84="","",VLOOKUP($A84,'Annex 2 EHV charges'!$A:$O,7,0))</f>
        <v>PSHLEY</v>
      </c>
      <c r="E84" s="96" t="str">
        <f>IFERROR(IF(VLOOKUP($A84,'Annex 2 EHV charges'!$A:$O,8,FALSE)=0,"",VLOOKUP($A84,'Annex 2 EHV charges'!$A:$O,8,FALSE)),"")</f>
        <v/>
      </c>
      <c r="F84" s="97">
        <f>IFERROR(IF(VLOOKUP($A84,'Annex 2 EHV charges'!$A:$O,9,FALSE)=0,"",VLOOKUP($A84,'Annex 2 EHV charges'!$A:$O,9,FALSE)),"")</f>
        <v>11.71</v>
      </c>
      <c r="G84" s="98">
        <f>IFERROR(IF(VLOOKUP($A84,'Annex 2 EHV charges'!$A:$O,10,FALSE)=0,"",VLOOKUP($A84,'Annex 2 EHV charges'!$A:$O,10,FALSE)),"")</f>
        <v>2.31</v>
      </c>
      <c r="H84" s="98">
        <f>IFERROR(IF(VLOOKUP($A84,'Annex 2 EHV charges'!$A:$O,11,FALSE)=0,"",VLOOKUP($A84,'Annex 2 EHV charges'!$A:$O,11,FALSE)),"")</f>
        <v>2.31</v>
      </c>
    </row>
    <row r="85" spans="1:8" ht="12.75" customHeight="1" x14ac:dyDescent="0.2">
      <c r="A85" s="91" t="str">
        <f t="array" ref="A85">IFERROR(INDEX('Annex 2 EHV charges'!$A$10:$A$259, MATCH(0, IF(ISBLANK('Annex 2 EHV charges'!$A$10:$A$259),1, COUNTIF(A$4:$A84, 'Annex 2 EHV charges'!$A$10:$A$259)), 0)),"")</f>
        <v>SELLSF</v>
      </c>
      <c r="B85" s="91">
        <f>IF($A85="","",VLOOKUP($A85,'Annex 2 EHV charges'!$A:$O,2,0))</f>
        <v>900</v>
      </c>
      <c r="C85" s="92">
        <f>IF($A85="","",VLOOKUP($A85,'Annex 2 EHV charges'!$A:$O,3,0))</f>
        <v>1900091360950</v>
      </c>
      <c r="D85" s="91" t="str">
        <f>IF($A85="","",VLOOKUP($A85,'Annex 2 EHV charges'!$A:$O,7,0))</f>
        <v>SELLSF</v>
      </c>
      <c r="E85" s="96">
        <f>IFERROR(IF(VLOOKUP($A85,'Annex 2 EHV charges'!$A:$O,8,FALSE)=0,"",VLOOKUP($A85,'Annex 2 EHV charges'!$A:$O,8,FALSE)),"")</f>
        <v>2.5999999999999999E-2</v>
      </c>
      <c r="F85" s="97">
        <f>IFERROR(IF(VLOOKUP($A85,'Annex 2 EHV charges'!$A:$O,9,FALSE)=0,"",VLOOKUP($A85,'Annex 2 EHV charges'!$A:$O,9,FALSE)),"")</f>
        <v>3.71</v>
      </c>
      <c r="G85" s="98">
        <f>IFERROR(IF(VLOOKUP($A85,'Annex 2 EHV charges'!$A:$O,10,FALSE)=0,"",VLOOKUP($A85,'Annex 2 EHV charges'!$A:$O,10,FALSE)),"")</f>
        <v>2.95</v>
      </c>
      <c r="H85" s="98">
        <f>IFERROR(IF(VLOOKUP($A85,'Annex 2 EHV charges'!$A:$O,11,FALSE)=0,"",VLOOKUP($A85,'Annex 2 EHV charges'!$A:$O,11,FALSE)),"")</f>
        <v>2.95</v>
      </c>
    </row>
    <row r="86" spans="1:8" ht="12.75" customHeight="1" x14ac:dyDescent="0.2">
      <c r="A86" s="91" t="str">
        <f t="array" ref="A86">IFERROR(INDEX('Annex 2 EHV charges'!$A$10:$A$259, MATCH(0, IF(ISBLANK('Annex 2 EHV charges'!$A$10:$A$259),1, COUNTIF(A$4:$A85, 'Annex 2 EHV charges'!$A$10:$A$259)), 0)),"")</f>
        <v>SEVIND</v>
      </c>
      <c r="B86" s="91">
        <f>IF($A86="","",VLOOKUP($A86,'Annex 2 EHV charges'!$A:$O,2,0))</f>
        <v>0</v>
      </c>
      <c r="C86" s="92" t="str">
        <f>IF($A86="","",VLOOKUP($A86,'Annex 2 EHV charges'!$A:$O,3,0))</f>
        <v>MSID: 7160</v>
      </c>
      <c r="D86" s="91" t="str">
        <f>IF($A86="","",VLOOKUP($A86,'Annex 2 EHV charges'!$A:$O,7,0))</f>
        <v>SEVIND</v>
      </c>
      <c r="E86" s="96">
        <f>IFERROR(IF(VLOOKUP($A86,'Annex 2 EHV charges'!$A:$O,8,FALSE)=0,"",VLOOKUP($A86,'Annex 2 EHV charges'!$A:$O,8,FALSE)),"")</f>
        <v>0.60699999999999998</v>
      </c>
      <c r="F86" s="97">
        <f>IFERROR(IF(VLOOKUP($A86,'Annex 2 EHV charges'!$A:$O,9,FALSE)=0,"",VLOOKUP($A86,'Annex 2 EHV charges'!$A:$O,9,FALSE)),"")</f>
        <v>1.35</v>
      </c>
      <c r="G86" s="98">
        <f>IFERROR(IF(VLOOKUP($A86,'Annex 2 EHV charges'!$A:$O,10,FALSE)=0,"",VLOOKUP($A86,'Annex 2 EHV charges'!$A:$O,10,FALSE)),"")</f>
        <v>1.1499999999999999</v>
      </c>
      <c r="H86" s="98">
        <f>IFERROR(IF(VLOOKUP($A86,'Annex 2 EHV charges'!$A:$O,11,FALSE)=0,"",VLOOKUP($A86,'Annex 2 EHV charges'!$A:$O,11,FALSE)),"")</f>
        <v>1.1499999999999999</v>
      </c>
    </row>
    <row r="87" spans="1:8" ht="12.75" customHeight="1" x14ac:dyDescent="0.2">
      <c r="A87" s="91" t="str">
        <f t="array" ref="A87">IFERROR(INDEX('Annex 2 EHV charges'!$A$10:$A$259, MATCH(0, IF(ISBLANK('Annex 2 EHV charges'!$A$10:$A$259),1, COUNTIF(A$4:$A86, 'Annex 2 EHV charges'!$A$10:$A$259)), 0)),"")</f>
        <v>SHEPHM</v>
      </c>
      <c r="B87" s="91">
        <f>IF($A87="","",VLOOKUP($A87,'Annex 2 EHV charges'!$A:$O,2,0))</f>
        <v>832</v>
      </c>
      <c r="C87" s="92">
        <f>IF($A87="","",VLOOKUP($A87,'Annex 2 EHV charges'!$A:$O,3,0))</f>
        <v>1900091420128</v>
      </c>
      <c r="D87" s="91" t="str">
        <f>IF($A87="","",VLOOKUP($A87,'Annex 2 EHV charges'!$A:$O,7,0))</f>
        <v>SHEPHM</v>
      </c>
      <c r="E87" s="96">
        <f>IFERROR(IF(VLOOKUP($A87,'Annex 2 EHV charges'!$A:$O,8,FALSE)=0,"",VLOOKUP($A87,'Annex 2 EHV charges'!$A:$O,8,FALSE)),"")</f>
        <v>2.1779999999999999</v>
      </c>
      <c r="F87" s="97">
        <f>IFERROR(IF(VLOOKUP($A87,'Annex 2 EHV charges'!$A:$O,9,FALSE)=0,"",VLOOKUP($A87,'Annex 2 EHV charges'!$A:$O,9,FALSE)),"")</f>
        <v>45.89</v>
      </c>
      <c r="G87" s="98">
        <f>IFERROR(IF(VLOOKUP($A87,'Annex 2 EHV charges'!$A:$O,10,FALSE)=0,"",VLOOKUP($A87,'Annex 2 EHV charges'!$A:$O,10,FALSE)),"")</f>
        <v>1.3</v>
      </c>
      <c r="H87" s="98">
        <f>IFERROR(IF(VLOOKUP($A87,'Annex 2 EHV charges'!$A:$O,11,FALSE)=0,"",VLOOKUP($A87,'Annex 2 EHV charges'!$A:$O,11,FALSE)),"")</f>
        <v>1.3</v>
      </c>
    </row>
    <row r="88" spans="1:8" ht="12.75" customHeight="1" x14ac:dyDescent="0.2">
      <c r="A88" s="91" t="str">
        <f t="array" ref="A88">IFERROR(INDEX('Annex 2 EHV charges'!$A$10:$A$259, MATCH(0, IF(ISBLANK('Annex 2 EHV charges'!$A$10:$A$259),1, COUNTIF(A$4:$A87, 'Annex 2 EHV charges'!$A$10:$A$259)), 0)),"")</f>
        <v>SHORHM</v>
      </c>
      <c r="B88" s="91">
        <f>IF($A88="","",VLOOKUP($A88,'Annex 2 EHV charges'!$A:$O,2,0))</f>
        <v>0</v>
      </c>
      <c r="C88" s="92" t="str">
        <f>IF($A88="","",VLOOKUP($A88,'Annex 2 EHV charges'!$A:$O,3,0))</f>
        <v>MSID: 7104</v>
      </c>
      <c r="D88" s="91" t="str">
        <f>IF($A88="","",VLOOKUP($A88,'Annex 2 EHV charges'!$A:$O,7,0))</f>
        <v>SHORHM</v>
      </c>
      <c r="E88" s="96" t="str">
        <f>IFERROR(IF(VLOOKUP($A88,'Annex 2 EHV charges'!$A:$O,8,FALSE)=0,"",VLOOKUP($A88,'Annex 2 EHV charges'!$A:$O,8,FALSE)),"")</f>
        <v/>
      </c>
      <c r="F88" s="97">
        <f>IFERROR(IF(VLOOKUP($A88,'Annex 2 EHV charges'!$A:$O,9,FALSE)=0,"",VLOOKUP($A88,'Annex 2 EHV charges'!$A:$O,9,FALSE)),"")</f>
        <v>273.63</v>
      </c>
      <c r="G88" s="98">
        <f>IFERROR(IF(VLOOKUP($A88,'Annex 2 EHV charges'!$A:$O,10,FALSE)=0,"",VLOOKUP($A88,'Annex 2 EHV charges'!$A:$O,10,FALSE)),"")</f>
        <v>1.42</v>
      </c>
      <c r="H88" s="98">
        <f>IFERROR(IF(VLOOKUP($A88,'Annex 2 EHV charges'!$A:$O,11,FALSE)=0,"",VLOOKUP($A88,'Annex 2 EHV charges'!$A:$O,11,FALSE)),"")</f>
        <v>1.42</v>
      </c>
    </row>
    <row r="89" spans="1:8" ht="12.75" customHeight="1" x14ac:dyDescent="0.2">
      <c r="A89" s="91" t="str">
        <f t="array" ref="A89">IFERROR(INDEX('Annex 2 EHV charges'!$A$10:$A$259, MATCH(0, IF(ISBLANK('Annex 2 EHV charges'!$A$10:$A$259),1, COUNTIF(A$4:$A88, 'Annex 2 EHV charges'!$A$10:$A$259)), 0)),"")</f>
        <v>SOLEES</v>
      </c>
      <c r="B89" s="91">
        <f>IF($A89="","",VLOOKUP($A89,'Annex 2 EHV charges'!$A:$O,2,0))</f>
        <v>823</v>
      </c>
      <c r="C89" s="92" t="str">
        <f>IF($A89="","",VLOOKUP($A89,'Annex 2 EHV charges'!$A:$O,3,0))</f>
        <v>1900091121257
1900091121275</v>
      </c>
      <c r="D89" s="91" t="str">
        <f>IF($A89="","",VLOOKUP($A89,'Annex 2 EHV charges'!$A:$O,7,0))</f>
        <v>SOLEES</v>
      </c>
      <c r="E89" s="96">
        <f>IFERROR(IF(VLOOKUP($A89,'Annex 2 EHV charges'!$A:$O,8,FALSE)=0,"",VLOOKUP($A89,'Annex 2 EHV charges'!$A:$O,8,FALSE)),"")</f>
        <v>1.6E-2</v>
      </c>
      <c r="F89" s="97">
        <f>IFERROR(IF(VLOOKUP($A89,'Annex 2 EHV charges'!$A:$O,9,FALSE)=0,"",VLOOKUP($A89,'Annex 2 EHV charges'!$A:$O,9,FALSE)),"")</f>
        <v>38.049999999999997</v>
      </c>
      <c r="G89" s="98">
        <f>IFERROR(IF(VLOOKUP($A89,'Annex 2 EHV charges'!$A:$O,10,FALSE)=0,"",VLOOKUP($A89,'Annex 2 EHV charges'!$A:$O,10,FALSE)),"")</f>
        <v>1.55</v>
      </c>
      <c r="H89" s="98">
        <f>IFERROR(IF(VLOOKUP($A89,'Annex 2 EHV charges'!$A:$O,11,FALSE)=0,"",VLOOKUP($A89,'Annex 2 EHV charges'!$A:$O,11,FALSE)),"")</f>
        <v>1.55</v>
      </c>
    </row>
    <row r="90" spans="1:8" ht="12.75" customHeight="1" x14ac:dyDescent="0.2">
      <c r="A90" s="91" t="str">
        <f t="array" ref="A90">IFERROR(INDEX('Annex 2 EHV charges'!$A$10:$A$259, MATCH(0, IF(ISBLANK('Annex 2 EHV charges'!$A$10:$A$259),1, COUNTIF(A$4:$A89, 'Annex 2 EHV charges'!$A$10:$A$259)), 0)),"")</f>
        <v>STAREN</v>
      </c>
      <c r="B90" s="91">
        <f>IF($A90="","",VLOOKUP($A90,'Annex 2 EHV charges'!$A:$O,2,0))</f>
        <v>883</v>
      </c>
      <c r="C90" s="92">
        <f>IF($A90="","",VLOOKUP($A90,'Annex 2 EHV charges'!$A:$O,3,0))</f>
        <v>1900060830217</v>
      </c>
      <c r="D90" s="91" t="str">
        <f>IF($A90="","",VLOOKUP($A90,'Annex 2 EHV charges'!$A:$O,7,0))</f>
        <v>STAREN</v>
      </c>
      <c r="E90" s="96" t="str">
        <f>IFERROR(IF(VLOOKUP($A90,'Annex 2 EHV charges'!$A:$O,8,FALSE)=0,"",VLOOKUP($A90,'Annex 2 EHV charges'!$A:$O,8,FALSE)),"")</f>
        <v/>
      </c>
      <c r="F90" s="97">
        <f>IFERROR(IF(VLOOKUP($A90,'Annex 2 EHV charges'!$A:$O,9,FALSE)=0,"",VLOOKUP($A90,'Annex 2 EHV charges'!$A:$O,9,FALSE)),"")</f>
        <v>1299.22</v>
      </c>
      <c r="G90" s="98">
        <f>IFERROR(IF(VLOOKUP($A90,'Annex 2 EHV charges'!$A:$O,10,FALSE)=0,"",VLOOKUP($A90,'Annex 2 EHV charges'!$A:$O,10,FALSE)),"")</f>
        <v>1.6</v>
      </c>
      <c r="H90" s="98">
        <f>IFERROR(IF(VLOOKUP($A90,'Annex 2 EHV charges'!$A:$O,11,FALSE)=0,"",VLOOKUP($A90,'Annex 2 EHV charges'!$A:$O,11,FALSE)),"")</f>
        <v>1.6</v>
      </c>
    </row>
    <row r="91" spans="1:8" ht="12.75" customHeight="1" x14ac:dyDescent="0.2">
      <c r="A91" s="91" t="str">
        <f t="array" ref="A91">IFERROR(INDEX('Annex 2 EHV charges'!$A$10:$A$259, MATCH(0, IF(ISBLANK('Annex 2 EHV charges'!$A$10:$A$259),1, COUNTIF(A$4:$A90, 'Annex 2 EHV charges'!$A$10:$A$259)), 0)),"")</f>
        <v>SYCAMR</v>
      </c>
      <c r="B91" s="91">
        <f>IF($A91="","",VLOOKUP($A91,'Annex 2 EHV charges'!$A:$O,2,0))</f>
        <v>807</v>
      </c>
      <c r="C91" s="92">
        <f>IF($A91="","",VLOOKUP($A91,'Annex 2 EHV charges'!$A:$O,3,0))</f>
        <v>1900091090096</v>
      </c>
      <c r="D91" s="91" t="str">
        <f>IF($A91="","",VLOOKUP($A91,'Annex 2 EHV charges'!$A:$O,7,0))</f>
        <v>SYCAMR</v>
      </c>
      <c r="E91" s="96">
        <f>IFERROR(IF(VLOOKUP($A91,'Annex 2 EHV charges'!$A:$O,8,FALSE)=0,"",VLOOKUP($A91,'Annex 2 EHV charges'!$A:$O,8,FALSE)),"")</f>
        <v>5.7000000000000002E-2</v>
      </c>
      <c r="F91" s="97">
        <f>IFERROR(IF(VLOOKUP($A91,'Annex 2 EHV charges'!$A:$O,9,FALSE)=0,"",VLOOKUP($A91,'Annex 2 EHV charges'!$A:$O,9,FALSE)),"")</f>
        <v>57.7</v>
      </c>
      <c r="G91" s="98">
        <f>IFERROR(IF(VLOOKUP($A91,'Annex 2 EHV charges'!$A:$O,10,FALSE)=0,"",VLOOKUP($A91,'Annex 2 EHV charges'!$A:$O,10,FALSE)),"")</f>
        <v>2.0099999999999998</v>
      </c>
      <c r="H91" s="98">
        <f>IFERROR(IF(VLOOKUP($A91,'Annex 2 EHV charges'!$A:$O,11,FALSE)=0,"",VLOOKUP($A91,'Annex 2 EHV charges'!$A:$O,11,FALSE)),"")</f>
        <v>2.0099999999999998</v>
      </c>
    </row>
    <row r="92" spans="1:8" ht="12.75" customHeight="1" x14ac:dyDescent="0.2">
      <c r="A92" s="91" t="str">
        <f t="array" ref="A92">IFERROR(INDEX('Annex 2 EHV charges'!$A$10:$A$259, MATCH(0, IF(ISBLANK('Annex 2 EHV charges'!$A$10:$A$259),1, COUNTIF(A$4:$A91, 'Annex 2 EHV charges'!$A$10:$A$259)), 0)),"")</f>
        <v>THAEAR</v>
      </c>
      <c r="B92" s="91">
        <f>IF($A92="","",VLOOKUP($A92,'Annex 2 EHV charges'!$A:$O,2,0))</f>
        <v>850</v>
      </c>
      <c r="C92" s="92" t="str">
        <f>IF($A92="","",VLOOKUP($A92,'Annex 2 EHV charges'!$A:$O,3,0))</f>
        <v>1900090417081
1900090417106
1900090417133
1900090417142
1900090417151</v>
      </c>
      <c r="D92" s="91" t="str">
        <f>IF($A92="","",VLOOKUP($A92,'Annex 2 EHV charges'!$A:$O,7,0))</f>
        <v>THAEAR</v>
      </c>
      <c r="E92" s="96">
        <f>IFERROR(IF(VLOOKUP($A92,'Annex 2 EHV charges'!$A:$O,8,FALSE)=0,"",VLOOKUP($A92,'Annex 2 EHV charges'!$A:$O,8,FALSE)),"")</f>
        <v>8.9999999999999993E-3</v>
      </c>
      <c r="F92" s="97">
        <f>IFERROR(IF(VLOOKUP($A92,'Annex 2 EHV charges'!$A:$O,9,FALSE)=0,"",VLOOKUP($A92,'Annex 2 EHV charges'!$A:$O,9,FALSE)),"")</f>
        <v>3211.71</v>
      </c>
      <c r="G92" s="98">
        <f>IFERROR(IF(VLOOKUP($A92,'Annex 2 EHV charges'!$A:$O,10,FALSE)=0,"",VLOOKUP($A92,'Annex 2 EHV charges'!$A:$O,10,FALSE)),"")</f>
        <v>1.36</v>
      </c>
      <c r="H92" s="98">
        <f>IFERROR(IF(VLOOKUP($A92,'Annex 2 EHV charges'!$A:$O,11,FALSE)=0,"",VLOOKUP($A92,'Annex 2 EHV charges'!$A:$O,11,FALSE)),"")</f>
        <v>1.36</v>
      </c>
    </row>
    <row r="93" spans="1:8" ht="12.75" customHeight="1" x14ac:dyDescent="0.2">
      <c r="A93" s="91" t="str">
        <f t="array" ref="A93">IFERROR(INDEX('Annex 2 EHV charges'!$A$10:$A$259, MATCH(0, IF(ISBLANK('Annex 2 EHV charges'!$A$10:$A$259),1, COUNTIF(A$4:$A92, 'Annex 2 EHV charges'!$A$10:$A$259)), 0)),"")</f>
        <v>THANET</v>
      </c>
      <c r="B93" s="91">
        <f>IF($A93="","",VLOOKUP($A93,'Annex 2 EHV charges'!$A:$O,2,0))</f>
        <v>0</v>
      </c>
      <c r="C93" s="92" t="str">
        <f>IF($A93="","",VLOOKUP($A93,'Annex 2 EHV charges'!$A:$O,3,0))</f>
        <v>MSID: 7230</v>
      </c>
      <c r="D93" s="91" t="str">
        <f>IF($A93="","",VLOOKUP($A93,'Annex 2 EHV charges'!$A:$O,7,0))</f>
        <v>THANET</v>
      </c>
      <c r="E93" s="96">
        <f>IFERROR(IF(VLOOKUP($A93,'Annex 2 EHV charges'!$A:$O,8,FALSE)=0,"",VLOOKUP($A93,'Annex 2 EHV charges'!$A:$O,8,FALSE)),"")</f>
        <v>1.4999999999999999E-2</v>
      </c>
      <c r="F93" s="97">
        <f>IFERROR(IF(VLOOKUP($A93,'Annex 2 EHV charges'!$A:$O,9,FALSE)=0,"",VLOOKUP($A93,'Annex 2 EHV charges'!$A:$O,9,FALSE)),"")</f>
        <v>14.45</v>
      </c>
      <c r="G93" s="98">
        <f>IFERROR(IF(VLOOKUP($A93,'Annex 2 EHV charges'!$A:$O,10,FALSE)=0,"",VLOOKUP($A93,'Annex 2 EHV charges'!$A:$O,10,FALSE)),"")</f>
        <v>1.3</v>
      </c>
      <c r="H93" s="98">
        <f>IFERROR(IF(VLOOKUP($A93,'Annex 2 EHV charges'!$A:$O,11,FALSE)=0,"",VLOOKUP($A93,'Annex 2 EHV charges'!$A:$O,11,FALSE)),"")</f>
        <v>1.3</v>
      </c>
    </row>
    <row r="94" spans="1:8" ht="12.75" customHeight="1" x14ac:dyDescent="0.2">
      <c r="A94" s="91" t="str">
        <f t="array" ref="A94">IFERROR(INDEX('Annex 2 EHV charges'!$A$10:$A$259, MATCH(0, IF(ISBLANK('Annex 2 EHV charges'!$A$10:$A$259),1, COUNTIF(A$4:$A93, 'Annex 2 EHV charges'!$A$10:$A$259)), 0)),"")</f>
        <v>THORNE</v>
      </c>
      <c r="B94" s="91">
        <f>IF($A94="","",VLOOKUP($A94,'Annex 2 EHV charges'!$A:$O,2,0))</f>
        <v>818</v>
      </c>
      <c r="C94" s="92">
        <f>IF($A94="","",VLOOKUP($A94,'Annex 2 EHV charges'!$A:$O,3,0))</f>
        <v>1900091171364</v>
      </c>
      <c r="D94" s="91" t="str">
        <f>IF($A94="","",VLOOKUP($A94,'Annex 2 EHV charges'!$A:$O,7,0))</f>
        <v>THORNE</v>
      </c>
      <c r="E94" s="96">
        <f>IFERROR(IF(VLOOKUP($A94,'Annex 2 EHV charges'!$A:$O,8,FALSE)=0,"",VLOOKUP($A94,'Annex 2 EHV charges'!$A:$O,8,FALSE)),"")</f>
        <v>1.2999999999999999E-2</v>
      </c>
      <c r="F94" s="97">
        <f>IFERROR(IF(VLOOKUP($A94,'Annex 2 EHV charges'!$A:$O,9,FALSE)=0,"",VLOOKUP($A94,'Annex 2 EHV charges'!$A:$O,9,FALSE)),"")</f>
        <v>19.55</v>
      </c>
      <c r="G94" s="98">
        <f>IFERROR(IF(VLOOKUP($A94,'Annex 2 EHV charges'!$A:$O,10,FALSE)=0,"",VLOOKUP($A94,'Annex 2 EHV charges'!$A:$O,10,FALSE)),"")</f>
        <v>2.37</v>
      </c>
      <c r="H94" s="98">
        <f>IFERROR(IF(VLOOKUP($A94,'Annex 2 EHV charges'!$A:$O,11,FALSE)=0,"",VLOOKUP($A94,'Annex 2 EHV charges'!$A:$O,11,FALSE)),"")</f>
        <v>2.37</v>
      </c>
    </row>
    <row r="95" spans="1:8" ht="12.75" customHeight="1" x14ac:dyDescent="0.2">
      <c r="A95" s="91" t="str">
        <f t="array" ref="A95">IFERROR(INDEX('Annex 2 EHV charges'!$A$10:$A$259, MATCH(0, IF(ISBLANK('Annex 2 EHV charges'!$A$10:$A$259),1, COUNTIF(A$4:$A94, 'Annex 2 EHV charges'!$A$10:$A$259)), 0)),"")</f>
        <v>TONGSF</v>
      </c>
      <c r="B95" s="91">
        <f>IF($A95="","",VLOOKUP($A95,'Annex 2 EHV charges'!$A:$O,2,0))</f>
        <v>828</v>
      </c>
      <c r="C95" s="92">
        <f>IF($A95="","",VLOOKUP($A95,'Annex 2 EHV charges'!$A:$O,3,0))</f>
        <v>1900091363000</v>
      </c>
      <c r="D95" s="91" t="str">
        <f>IF($A95="","",VLOOKUP($A95,'Annex 2 EHV charges'!$A:$O,7,0))</f>
        <v>TONGSF</v>
      </c>
      <c r="E95" s="96" t="str">
        <f>IFERROR(IF(VLOOKUP($A95,'Annex 2 EHV charges'!$A:$O,8,FALSE)=0,"",VLOOKUP($A95,'Annex 2 EHV charges'!$A:$O,8,FALSE)),"")</f>
        <v/>
      </c>
      <c r="F95" s="97">
        <f>IFERROR(IF(VLOOKUP($A95,'Annex 2 EHV charges'!$A:$O,9,FALSE)=0,"",VLOOKUP($A95,'Annex 2 EHV charges'!$A:$O,9,FALSE)),"")</f>
        <v>29.72</v>
      </c>
      <c r="G95" s="98">
        <f>IFERROR(IF(VLOOKUP($A95,'Annex 2 EHV charges'!$A:$O,10,FALSE)=0,"",VLOOKUP($A95,'Annex 2 EHV charges'!$A:$O,10,FALSE)),"")</f>
        <v>1.96</v>
      </c>
      <c r="H95" s="98">
        <f>IFERROR(IF(VLOOKUP($A95,'Annex 2 EHV charges'!$A:$O,11,FALSE)=0,"",VLOOKUP($A95,'Annex 2 EHV charges'!$A:$O,11,FALSE)),"")</f>
        <v>1.96</v>
      </c>
    </row>
    <row r="96" spans="1:8" ht="12.75" customHeight="1" x14ac:dyDescent="0.2">
      <c r="A96" s="91" t="str">
        <f t="array" ref="A96">IFERROR(INDEX('Annex 2 EHV charges'!$A$10:$A$259, MATCH(0, IF(ISBLANK('Annex 2 EHV charges'!$A$10:$A$259),1, COUNTIF(A$4:$A95, 'Annex 2 EHV charges'!$A$10:$A$259)), 0)),"")</f>
        <v>WDLNDS</v>
      </c>
      <c r="B96" s="91">
        <f>IF($A96="","",VLOOKUP($A96,'Annex 2 EHV charges'!$A:$O,2,0))</f>
        <v>825</v>
      </c>
      <c r="C96" s="92">
        <f>IF($A96="","",VLOOKUP($A96,'Annex 2 EHV charges'!$A:$O,3,0))</f>
        <v>1900091207124</v>
      </c>
      <c r="D96" s="91" t="str">
        <f>IF($A96="","",VLOOKUP($A96,'Annex 2 EHV charges'!$A:$O,7,0))</f>
        <v>WDLNDS</v>
      </c>
      <c r="E96" s="96">
        <f>IFERROR(IF(VLOOKUP($A96,'Annex 2 EHV charges'!$A:$O,8,FALSE)=0,"",VLOOKUP($A96,'Annex 2 EHV charges'!$A:$O,8,FALSE)),"")</f>
        <v>8.9999999999999993E-3</v>
      </c>
      <c r="F96" s="97">
        <f>IFERROR(IF(VLOOKUP($A96,'Annex 2 EHV charges'!$A:$O,9,FALSE)=0,"",VLOOKUP($A96,'Annex 2 EHV charges'!$A:$O,9,FALSE)),"")</f>
        <v>21.97</v>
      </c>
      <c r="G96" s="98">
        <f>IFERROR(IF(VLOOKUP($A96,'Annex 2 EHV charges'!$A:$O,10,FALSE)=0,"",VLOOKUP($A96,'Annex 2 EHV charges'!$A:$O,10,FALSE)),"")</f>
        <v>2.38</v>
      </c>
      <c r="H96" s="98">
        <f>IFERROR(IF(VLOOKUP($A96,'Annex 2 EHV charges'!$A:$O,11,FALSE)=0,"",VLOOKUP($A96,'Annex 2 EHV charges'!$A:$O,11,FALSE)),"")</f>
        <v>2.38</v>
      </c>
    </row>
    <row r="97" spans="1:8" ht="12.75" customHeight="1" x14ac:dyDescent="0.2">
      <c r="A97" s="91" t="str">
        <f t="array" ref="A97">IFERROR(INDEX('Annex 2 EHV charges'!$A$10:$A$259, MATCH(0, IF(ISBLANK('Annex 2 EHV charges'!$A$10:$A$259),1, COUNTIF(A$4:$A96, 'Annex 2 EHV charges'!$A$10:$A$259)), 0)),"")</f>
        <v>WIDHFM</v>
      </c>
      <c r="B97" s="91">
        <f>IF($A97="","",VLOOKUP($A97,'Annex 2 EHV charges'!$A:$O,2,0))</f>
        <v>821</v>
      </c>
      <c r="C97" s="92">
        <f>IF($A97="","",VLOOKUP($A97,'Annex 2 EHV charges'!$A:$O,3,0))</f>
        <v>1900091478493</v>
      </c>
      <c r="D97" s="91" t="str">
        <f>IF($A97="","",VLOOKUP($A97,'Annex 2 EHV charges'!$A:$O,7,0))</f>
        <v>WIDHFM</v>
      </c>
      <c r="E97" s="96">
        <f>IFERROR(IF(VLOOKUP($A97,'Annex 2 EHV charges'!$A:$O,8,FALSE)=0,"",VLOOKUP($A97,'Annex 2 EHV charges'!$A:$O,8,FALSE)),"")</f>
        <v>0.20399999999999999</v>
      </c>
      <c r="F97" s="97">
        <f>IFERROR(IF(VLOOKUP($A97,'Annex 2 EHV charges'!$A:$O,9,FALSE)=0,"",VLOOKUP($A97,'Annex 2 EHV charges'!$A:$O,9,FALSE)),"")</f>
        <v>17.149999999999999</v>
      </c>
      <c r="G97" s="98">
        <f>IFERROR(IF(VLOOKUP($A97,'Annex 2 EHV charges'!$A:$O,10,FALSE)=0,"",VLOOKUP($A97,'Annex 2 EHV charges'!$A:$O,10,FALSE)),"")</f>
        <v>3.77</v>
      </c>
      <c r="H97" s="98">
        <f>IFERROR(IF(VLOOKUP($A97,'Annex 2 EHV charges'!$A:$O,11,FALSE)=0,"",VLOOKUP($A97,'Annex 2 EHV charges'!$A:$O,11,FALSE)),"")</f>
        <v>3.77</v>
      </c>
    </row>
    <row r="98" spans="1:8" ht="12.75" customHeight="1" x14ac:dyDescent="0.2">
      <c r="A98" s="91" t="str">
        <f t="array" ref="A98">IFERROR(INDEX('Annex 2 EHV charges'!$A$10:$A$259, MATCH(0, IF(ISBLANK('Annex 2 EHV charges'!$A$10:$A$259),1, COUNTIF(A$4:$A97, 'Annex 2 EHV charges'!$A$10:$A$259)), 0)),"")</f>
        <v>WLBEES</v>
      </c>
      <c r="B98" s="91">
        <f>IF($A98="","",VLOOKUP($A98,'Annex 2 EHV charges'!$A:$O,2,0))</f>
        <v>829</v>
      </c>
      <c r="C98" s="92">
        <f>IF($A98="","",VLOOKUP($A98,'Annex 2 EHV charges'!$A:$O,3,0))</f>
        <v>1900091315238</v>
      </c>
      <c r="D98" s="91" t="str">
        <f>IF($A98="","",VLOOKUP($A98,'Annex 2 EHV charges'!$A:$O,7,0))</f>
        <v>WLBEES</v>
      </c>
      <c r="E98" s="96">
        <f>IFERROR(IF(VLOOKUP($A98,'Annex 2 EHV charges'!$A:$O,8,FALSE)=0,"",VLOOKUP($A98,'Annex 2 EHV charges'!$A:$O,8,FALSE)),"")</f>
        <v>0.56299999999999994</v>
      </c>
      <c r="F98" s="97">
        <f>IFERROR(IF(VLOOKUP($A98,'Annex 2 EHV charges'!$A:$O,9,FALSE)=0,"",VLOOKUP($A98,'Annex 2 EHV charges'!$A:$O,9,FALSE)),"")</f>
        <v>3.11</v>
      </c>
      <c r="G98" s="98">
        <f>IFERROR(IF(VLOOKUP($A98,'Annex 2 EHV charges'!$A:$O,10,FALSE)=0,"",VLOOKUP($A98,'Annex 2 EHV charges'!$A:$O,10,FALSE)),"")</f>
        <v>1.96</v>
      </c>
      <c r="H98" s="98">
        <f>IFERROR(IF(VLOOKUP($A98,'Annex 2 EHV charges'!$A:$O,11,FALSE)=0,"",VLOOKUP($A98,'Annex 2 EHV charges'!$A:$O,11,FALSE)),"")</f>
        <v>1.96</v>
      </c>
    </row>
    <row r="99" spans="1:8" ht="12.75" customHeight="1" x14ac:dyDescent="0.2">
      <c r="A99" s="91" t="str">
        <f t="array" ref="A99">IFERROR(INDEX('Annex 2 EHV charges'!$A$10:$A$259, MATCH(0, IF(ISBLANK('Annex 2 EHV charges'!$A$10:$A$259),1, COUNTIF(A$4:$A98, 'Annex 2 EHV charges'!$A$10:$A$259)), 0)),"")</f>
        <v>WRGALL</v>
      </c>
      <c r="B99" s="91">
        <f>IF($A99="","",VLOOKUP($A99,'Annex 2 EHV charges'!$A:$O,2,0))</f>
        <v>887</v>
      </c>
      <c r="C99" s="92">
        <f>IF($A99="","",VLOOKUP($A99,'Annex 2 EHV charges'!$A:$O,3,0))</f>
        <v>1900070394457</v>
      </c>
      <c r="D99" s="91" t="str">
        <f>IF($A99="","",VLOOKUP($A99,'Annex 2 EHV charges'!$A:$O,7,0))</f>
        <v>WRGALL</v>
      </c>
      <c r="E99" s="96" t="str">
        <f>IFERROR(IF(VLOOKUP($A99,'Annex 2 EHV charges'!$A:$O,8,FALSE)=0,"",VLOOKUP($A99,'Annex 2 EHV charges'!$A:$O,8,FALSE)),"")</f>
        <v/>
      </c>
      <c r="F99" s="97">
        <f>IFERROR(IF(VLOOKUP($A99,'Annex 2 EHV charges'!$A:$O,9,FALSE)=0,"",VLOOKUP($A99,'Annex 2 EHV charges'!$A:$O,9,FALSE)),"")</f>
        <v>724.14</v>
      </c>
      <c r="G99" s="98">
        <f>IFERROR(IF(VLOOKUP($A99,'Annex 2 EHV charges'!$A:$O,10,FALSE)=0,"",VLOOKUP($A99,'Annex 2 EHV charges'!$A:$O,10,FALSE)),"")</f>
        <v>0.88</v>
      </c>
      <c r="H99" s="98">
        <f>IFERROR(IF(VLOOKUP($A99,'Annex 2 EHV charges'!$A:$O,11,FALSE)=0,"",VLOOKUP($A99,'Annex 2 EHV charges'!$A:$O,11,FALSE)),"")</f>
        <v>0.88</v>
      </c>
    </row>
    <row r="100" spans="1:8" ht="12.75" customHeight="1" x14ac:dyDescent="0.2">
      <c r="A100" s="91" t="str">
        <f t="array" ref="A100">IFERROR(INDEX('Annex 2 EHV charges'!$A$10:$A$259, MATCH(0, IF(ISBLANK('Annex 2 EHV charges'!$A$10:$A$259),1, COUNTIF(A$4:$A99, 'Annex 2 EHV charges'!$A$10:$A$259)), 0)),"")</f>
        <v>WSTWDX</v>
      </c>
      <c r="B100" s="91">
        <f>IF($A100="","",VLOOKUP($A100,'Annex 2 EHV charges'!$A:$O,2,0))</f>
        <v>806</v>
      </c>
      <c r="C100" s="92">
        <f>IF($A100="","",VLOOKUP($A100,'Annex 2 EHV charges'!$A:$O,3,0))</f>
        <v>1900091086531</v>
      </c>
      <c r="D100" s="91" t="str">
        <f>IF($A100="","",VLOOKUP($A100,'Annex 2 EHV charges'!$A:$O,7,0))</f>
        <v>WSTWDX</v>
      </c>
      <c r="E100" s="96">
        <f>IFERROR(IF(VLOOKUP($A100,'Annex 2 EHV charges'!$A:$O,8,FALSE)=0,"",VLOOKUP($A100,'Annex 2 EHV charges'!$A:$O,8,FALSE)),"")</f>
        <v>1.2999999999999999E-2</v>
      </c>
      <c r="F100" s="97">
        <f>IFERROR(IF(VLOOKUP($A100,'Annex 2 EHV charges'!$A:$O,9,FALSE)=0,"",VLOOKUP($A100,'Annex 2 EHV charges'!$A:$O,9,FALSE)),"")</f>
        <v>12.81</v>
      </c>
      <c r="G100" s="98">
        <f>IFERROR(IF(VLOOKUP($A100,'Annex 2 EHV charges'!$A:$O,10,FALSE)=0,"",VLOOKUP($A100,'Annex 2 EHV charges'!$A:$O,10,FALSE)),"")</f>
        <v>1.96</v>
      </c>
      <c r="H100" s="98">
        <f>IFERROR(IF(VLOOKUP($A100,'Annex 2 EHV charges'!$A:$O,11,FALSE)=0,"",VLOOKUP($A100,'Annex 2 EHV charges'!$A:$O,11,FALSE)),"")</f>
        <v>1.96</v>
      </c>
    </row>
    <row r="101" spans="1:8" ht="12.75" customHeight="1" x14ac:dyDescent="0.2">
      <c r="A101" s="91" t="str">
        <f t="array" ref="A101">IFERROR(INDEX('Annex 2 EHV charges'!$A$10:$A$259, MATCH(0, IF(ISBLANK('Annex 2 EHV charges'!$A$10:$A$259),1, COUNTIF(A$4:$A100, 'Annex 2 EHV charges'!$A$10:$A$259)), 0)),"")</f>
        <v/>
      </c>
      <c r="B101" s="91" t="str">
        <f>IF($A101="","",VLOOKUP($A101,'Annex 2 EHV charges'!$A:$O,2,0))</f>
        <v/>
      </c>
      <c r="C101" s="92" t="str">
        <f>IF($A101="","",VLOOKUP($A101,'Annex 2 EHV charges'!$A:$O,3,0))</f>
        <v/>
      </c>
      <c r="D101" s="91" t="str">
        <f>IF($A101="","",VLOOKUP($A101,'Annex 2 EHV charges'!$A:$O,7,0))</f>
        <v/>
      </c>
      <c r="E101" s="96" t="str">
        <f>IFERROR(IF(VLOOKUP($A101,'Annex 2 EHV charges'!$A:$O,8,FALSE)=0,"",VLOOKUP($A101,'Annex 2 EHV charges'!$A:$O,8,FALSE)),"")</f>
        <v/>
      </c>
      <c r="F101" s="97" t="str">
        <f>IFERROR(IF(VLOOKUP($A101,'Annex 2 EHV charges'!$A:$O,9,FALSE)=0,"",VLOOKUP($A101,'Annex 2 EHV charges'!$A:$O,9,FALSE)),"")</f>
        <v/>
      </c>
      <c r="G101" s="98" t="str">
        <f>IFERROR(IF(VLOOKUP($A101,'Annex 2 EHV charges'!$A:$O,10,FALSE)=0,"",VLOOKUP($A101,'Annex 2 EHV charges'!$A:$O,10,FALSE)),"")</f>
        <v/>
      </c>
      <c r="H101" s="98" t="str">
        <f>IFERROR(IF(VLOOKUP($A101,'Annex 2 EHV charges'!$A:$O,11,FALSE)=0,"",VLOOKUP($A101,'Annex 2 EHV charges'!$A:$O,11,FALSE)),"")</f>
        <v/>
      </c>
    </row>
    <row r="102" spans="1:8" ht="12.75" customHeight="1" x14ac:dyDescent="0.2">
      <c r="A102" s="91" t="str">
        <f t="array" ref="A102">IFERROR(INDEX('Annex 2 EHV charges'!$A$10:$A$259, MATCH(0, IF(ISBLANK('Annex 2 EHV charges'!$A$10:$A$259),1, COUNTIF(A$4:$A101, 'Annex 2 EHV charges'!$A$10:$A$259)), 0)),"")</f>
        <v/>
      </c>
      <c r="B102" s="91" t="str">
        <f>IF($A102="","",VLOOKUP($A102,'Annex 2 EHV charges'!$A:$O,2,0))</f>
        <v/>
      </c>
      <c r="C102" s="92" t="str">
        <f>IF($A102="","",VLOOKUP($A102,'Annex 2 EHV charges'!$A:$O,3,0))</f>
        <v/>
      </c>
      <c r="D102" s="91" t="str">
        <f>IF($A102="","",VLOOKUP($A102,'Annex 2 EHV charges'!$A:$O,7,0))</f>
        <v/>
      </c>
      <c r="E102" s="96" t="str">
        <f>IFERROR(IF(VLOOKUP($A102,'Annex 2 EHV charges'!$A:$O,8,FALSE)=0,"",VLOOKUP($A102,'Annex 2 EHV charges'!$A:$O,8,FALSE)),"")</f>
        <v/>
      </c>
      <c r="F102" s="97" t="str">
        <f>IFERROR(IF(VLOOKUP($A102,'Annex 2 EHV charges'!$A:$O,9,FALSE)=0,"",VLOOKUP($A102,'Annex 2 EHV charges'!$A:$O,9,FALSE)),"")</f>
        <v/>
      </c>
      <c r="G102" s="98" t="str">
        <f>IFERROR(IF(VLOOKUP($A102,'Annex 2 EHV charges'!$A:$O,10,FALSE)=0,"",VLOOKUP($A102,'Annex 2 EHV charges'!$A:$O,10,FALSE)),"")</f>
        <v/>
      </c>
      <c r="H102" s="98" t="str">
        <f>IFERROR(IF(VLOOKUP($A102,'Annex 2 EHV charges'!$A:$O,11,FALSE)=0,"",VLOOKUP($A102,'Annex 2 EHV charges'!$A:$O,11,FALSE)),"")</f>
        <v/>
      </c>
    </row>
    <row r="103" spans="1:8" ht="12.75" customHeight="1" x14ac:dyDescent="0.2">
      <c r="A103" s="91" t="str">
        <f t="array" ref="A103">IFERROR(INDEX('Annex 2 EHV charges'!$A$10:$A$259, MATCH(0, IF(ISBLANK('Annex 2 EHV charges'!$A$10:$A$259),1, COUNTIF(A$4:$A102, 'Annex 2 EHV charges'!$A$10:$A$259)), 0)),"")</f>
        <v/>
      </c>
      <c r="B103" s="91" t="str">
        <f>IF($A103="","",VLOOKUP($A103,'Annex 2 EHV charges'!$A:$O,2,0))</f>
        <v/>
      </c>
      <c r="C103" s="92" t="str">
        <f>IF($A103="","",VLOOKUP($A103,'Annex 2 EHV charges'!$A:$O,3,0))</f>
        <v/>
      </c>
      <c r="D103" s="91" t="str">
        <f>IF($A103="","",VLOOKUP($A103,'Annex 2 EHV charges'!$A:$O,7,0))</f>
        <v/>
      </c>
      <c r="E103" s="96" t="str">
        <f>IFERROR(IF(VLOOKUP($A103,'Annex 2 EHV charges'!$A:$O,8,FALSE)=0,"",VLOOKUP($A103,'Annex 2 EHV charges'!$A:$O,8,FALSE)),"")</f>
        <v/>
      </c>
      <c r="F103" s="97" t="str">
        <f>IFERROR(IF(VLOOKUP($A103,'Annex 2 EHV charges'!$A:$O,9,FALSE)=0,"",VLOOKUP($A103,'Annex 2 EHV charges'!$A:$O,9,FALSE)),"")</f>
        <v/>
      </c>
      <c r="G103" s="98" t="str">
        <f>IFERROR(IF(VLOOKUP($A103,'Annex 2 EHV charges'!$A:$O,10,FALSE)=0,"",VLOOKUP($A103,'Annex 2 EHV charges'!$A:$O,10,FALSE)),"")</f>
        <v/>
      </c>
      <c r="H103" s="98" t="str">
        <f>IFERROR(IF(VLOOKUP($A103,'Annex 2 EHV charges'!$A:$O,11,FALSE)=0,"",VLOOKUP($A103,'Annex 2 EHV charges'!$A:$O,11,FALSE)),"")</f>
        <v/>
      </c>
    </row>
    <row r="104" spans="1:8" ht="12.75" customHeight="1" x14ac:dyDescent="0.2">
      <c r="A104" s="91" t="str">
        <f t="array" ref="A104">IFERROR(INDEX('Annex 2 EHV charges'!$A$10:$A$259, MATCH(0, IF(ISBLANK('Annex 2 EHV charges'!$A$10:$A$259),1, COUNTIF(A$4:$A103, 'Annex 2 EHV charges'!$A$10:$A$259)), 0)),"")</f>
        <v/>
      </c>
      <c r="B104" s="91" t="str">
        <f>IF($A104="","",VLOOKUP($A104,'Annex 2 EHV charges'!$A:$O,2,0))</f>
        <v/>
      </c>
      <c r="C104" s="92" t="str">
        <f>IF($A104="","",VLOOKUP($A104,'Annex 2 EHV charges'!$A:$O,3,0))</f>
        <v/>
      </c>
      <c r="D104" s="91" t="str">
        <f>IF($A104="","",VLOOKUP($A104,'Annex 2 EHV charges'!$A:$O,7,0))</f>
        <v/>
      </c>
      <c r="E104" s="96" t="str">
        <f>IFERROR(IF(VLOOKUP($A104,'Annex 2 EHV charges'!$A:$O,8,FALSE)=0,"",VLOOKUP($A104,'Annex 2 EHV charges'!$A:$O,8,FALSE)),"")</f>
        <v/>
      </c>
      <c r="F104" s="97" t="str">
        <f>IFERROR(IF(VLOOKUP($A104,'Annex 2 EHV charges'!$A:$O,9,FALSE)=0,"",VLOOKUP($A104,'Annex 2 EHV charges'!$A:$O,9,FALSE)),"")</f>
        <v/>
      </c>
      <c r="G104" s="98" t="str">
        <f>IFERROR(IF(VLOOKUP($A104,'Annex 2 EHV charges'!$A:$O,10,FALSE)=0,"",VLOOKUP($A104,'Annex 2 EHV charges'!$A:$O,10,FALSE)),"")</f>
        <v/>
      </c>
      <c r="H104" s="98" t="str">
        <f>IFERROR(IF(VLOOKUP($A104,'Annex 2 EHV charges'!$A:$O,11,FALSE)=0,"",VLOOKUP($A104,'Annex 2 EHV charges'!$A:$O,11,FALSE)),"")</f>
        <v/>
      </c>
    </row>
    <row r="105" spans="1:8" ht="12.75" customHeight="1" x14ac:dyDescent="0.2">
      <c r="A105" s="91" t="str">
        <f t="array" ref="A105">IFERROR(INDEX('Annex 2 EHV charges'!$A$10:$A$259, MATCH(0, IF(ISBLANK('Annex 2 EHV charges'!$A$10:$A$259),1, COUNTIF(A$4:$A104, 'Annex 2 EHV charges'!$A$10:$A$259)), 0)),"")</f>
        <v/>
      </c>
      <c r="B105" s="91" t="str">
        <f>IF($A105="","",VLOOKUP($A105,'Annex 2 EHV charges'!$A:$O,2,0))</f>
        <v/>
      </c>
      <c r="C105" s="92" t="str">
        <f>IF($A105="","",VLOOKUP($A105,'Annex 2 EHV charges'!$A:$O,3,0))</f>
        <v/>
      </c>
      <c r="D105" s="91" t="str">
        <f>IF($A105="","",VLOOKUP($A105,'Annex 2 EHV charges'!$A:$O,7,0))</f>
        <v/>
      </c>
      <c r="E105" s="96" t="str">
        <f>IFERROR(IF(VLOOKUP($A105,'Annex 2 EHV charges'!$A:$O,8,FALSE)=0,"",VLOOKUP($A105,'Annex 2 EHV charges'!$A:$O,8,FALSE)),"")</f>
        <v/>
      </c>
      <c r="F105" s="97" t="str">
        <f>IFERROR(IF(VLOOKUP($A105,'Annex 2 EHV charges'!$A:$O,9,FALSE)=0,"",VLOOKUP($A105,'Annex 2 EHV charges'!$A:$O,9,FALSE)),"")</f>
        <v/>
      </c>
      <c r="G105" s="98" t="str">
        <f>IFERROR(IF(VLOOKUP($A105,'Annex 2 EHV charges'!$A:$O,10,FALSE)=0,"",VLOOKUP($A105,'Annex 2 EHV charges'!$A:$O,10,FALSE)),"")</f>
        <v/>
      </c>
      <c r="H105" s="98" t="str">
        <f>IFERROR(IF(VLOOKUP($A105,'Annex 2 EHV charges'!$A:$O,11,FALSE)=0,"",VLOOKUP($A105,'Annex 2 EHV charges'!$A:$O,11,FALSE)),"")</f>
        <v/>
      </c>
    </row>
    <row r="106" spans="1:8" ht="12.75" customHeight="1" x14ac:dyDescent="0.2">
      <c r="A106" s="91" t="str">
        <f t="array" ref="A106">IFERROR(INDEX('Annex 2 EHV charges'!$A$10:$A$259, MATCH(0, IF(ISBLANK('Annex 2 EHV charges'!$A$10:$A$259),1, COUNTIF(A$4:$A105, 'Annex 2 EHV charges'!$A$10:$A$259)), 0)),"")</f>
        <v/>
      </c>
      <c r="B106" s="91" t="str">
        <f>IF($A106="","",VLOOKUP($A106,'Annex 2 EHV charges'!$A:$O,2,0))</f>
        <v/>
      </c>
      <c r="C106" s="92" t="str">
        <f>IF($A106="","",VLOOKUP($A106,'Annex 2 EHV charges'!$A:$O,3,0))</f>
        <v/>
      </c>
      <c r="D106" s="91" t="str">
        <f>IF($A106="","",VLOOKUP($A106,'Annex 2 EHV charges'!$A:$O,7,0))</f>
        <v/>
      </c>
      <c r="E106" s="96" t="str">
        <f>IFERROR(IF(VLOOKUP($A106,'Annex 2 EHV charges'!$A:$O,8,FALSE)=0,"",VLOOKUP($A106,'Annex 2 EHV charges'!$A:$O,8,FALSE)),"")</f>
        <v/>
      </c>
      <c r="F106" s="97" t="str">
        <f>IFERROR(IF(VLOOKUP($A106,'Annex 2 EHV charges'!$A:$O,9,FALSE)=0,"",VLOOKUP($A106,'Annex 2 EHV charges'!$A:$O,9,FALSE)),"")</f>
        <v/>
      </c>
      <c r="G106" s="98" t="str">
        <f>IFERROR(IF(VLOOKUP($A106,'Annex 2 EHV charges'!$A:$O,10,FALSE)=0,"",VLOOKUP($A106,'Annex 2 EHV charges'!$A:$O,10,FALSE)),"")</f>
        <v/>
      </c>
      <c r="H106" s="98" t="str">
        <f>IFERROR(IF(VLOOKUP($A106,'Annex 2 EHV charges'!$A:$O,11,FALSE)=0,"",VLOOKUP($A106,'Annex 2 EHV charges'!$A:$O,11,FALSE)),"")</f>
        <v/>
      </c>
    </row>
    <row r="107" spans="1:8" ht="12.75" customHeight="1" x14ac:dyDescent="0.2">
      <c r="A107" s="91" t="str">
        <f t="array" ref="A107">IFERROR(INDEX('Annex 2 EHV charges'!$A$10:$A$259, MATCH(0, IF(ISBLANK('Annex 2 EHV charges'!$A$10:$A$259),1, COUNTIF(A$4:$A106, 'Annex 2 EHV charges'!$A$10:$A$259)), 0)),"")</f>
        <v/>
      </c>
      <c r="B107" s="91" t="str">
        <f>IF($A107="","",VLOOKUP($A107,'Annex 2 EHV charges'!$A:$O,2,0))</f>
        <v/>
      </c>
      <c r="C107" s="92" t="str">
        <f>IF($A107="","",VLOOKUP($A107,'Annex 2 EHV charges'!$A:$O,3,0))</f>
        <v/>
      </c>
      <c r="D107" s="91" t="str">
        <f>IF($A107="","",VLOOKUP($A107,'Annex 2 EHV charges'!$A:$O,7,0))</f>
        <v/>
      </c>
      <c r="E107" s="96" t="str">
        <f>IFERROR(IF(VLOOKUP($A107,'Annex 2 EHV charges'!$A:$O,8,FALSE)=0,"",VLOOKUP($A107,'Annex 2 EHV charges'!$A:$O,8,FALSE)),"")</f>
        <v/>
      </c>
      <c r="F107" s="97" t="str">
        <f>IFERROR(IF(VLOOKUP($A107,'Annex 2 EHV charges'!$A:$O,9,FALSE)=0,"",VLOOKUP($A107,'Annex 2 EHV charges'!$A:$O,9,FALSE)),"")</f>
        <v/>
      </c>
      <c r="G107" s="98" t="str">
        <f>IFERROR(IF(VLOOKUP($A107,'Annex 2 EHV charges'!$A:$O,10,FALSE)=0,"",VLOOKUP($A107,'Annex 2 EHV charges'!$A:$O,10,FALSE)),"")</f>
        <v/>
      </c>
      <c r="H107" s="98" t="str">
        <f>IFERROR(IF(VLOOKUP($A107,'Annex 2 EHV charges'!$A:$O,11,FALSE)=0,"",VLOOKUP($A107,'Annex 2 EHV charges'!$A:$O,11,FALSE)),"")</f>
        <v/>
      </c>
    </row>
    <row r="108" spans="1:8" ht="12.75" customHeight="1" x14ac:dyDescent="0.2">
      <c r="A108" s="91" t="str">
        <f t="array" ref="A108">IFERROR(INDEX('Annex 2 EHV charges'!$A$10:$A$259, MATCH(0, IF(ISBLANK('Annex 2 EHV charges'!$A$10:$A$259),1, COUNTIF(A$4:$A107, 'Annex 2 EHV charges'!$A$10:$A$259)), 0)),"")</f>
        <v/>
      </c>
      <c r="B108" s="91" t="str">
        <f>IF($A108="","",VLOOKUP($A108,'Annex 2 EHV charges'!$A:$O,2,0))</f>
        <v/>
      </c>
      <c r="C108" s="92" t="str">
        <f>IF($A108="","",VLOOKUP($A108,'Annex 2 EHV charges'!$A:$O,3,0))</f>
        <v/>
      </c>
      <c r="D108" s="91" t="str">
        <f>IF($A108="","",VLOOKUP($A108,'Annex 2 EHV charges'!$A:$O,7,0))</f>
        <v/>
      </c>
      <c r="E108" s="96" t="str">
        <f>IFERROR(IF(VLOOKUP($A108,'Annex 2 EHV charges'!$A:$O,8,FALSE)=0,"",VLOOKUP($A108,'Annex 2 EHV charges'!$A:$O,8,FALSE)),"")</f>
        <v/>
      </c>
      <c r="F108" s="97" t="str">
        <f>IFERROR(IF(VLOOKUP($A108,'Annex 2 EHV charges'!$A:$O,9,FALSE)=0,"",VLOOKUP($A108,'Annex 2 EHV charges'!$A:$O,9,FALSE)),"")</f>
        <v/>
      </c>
      <c r="G108" s="98" t="str">
        <f>IFERROR(IF(VLOOKUP($A108,'Annex 2 EHV charges'!$A:$O,10,FALSE)=0,"",VLOOKUP($A108,'Annex 2 EHV charges'!$A:$O,10,FALSE)),"")</f>
        <v/>
      </c>
      <c r="H108" s="98" t="str">
        <f>IFERROR(IF(VLOOKUP($A108,'Annex 2 EHV charges'!$A:$O,11,FALSE)=0,"",VLOOKUP($A108,'Annex 2 EHV charges'!$A:$O,11,FALSE)),"")</f>
        <v/>
      </c>
    </row>
    <row r="109" spans="1:8" ht="12.75" customHeight="1" x14ac:dyDescent="0.2">
      <c r="A109" s="91" t="str">
        <f t="array" ref="A109">IFERROR(INDEX('Annex 2 EHV charges'!$A$10:$A$259, MATCH(0, IF(ISBLANK('Annex 2 EHV charges'!$A$10:$A$259),1, COUNTIF(A$4:$A108, 'Annex 2 EHV charges'!$A$10:$A$259)), 0)),"")</f>
        <v/>
      </c>
      <c r="B109" s="91" t="str">
        <f>IF($A109="","",VLOOKUP($A109,'Annex 2 EHV charges'!$A:$O,2,0))</f>
        <v/>
      </c>
      <c r="C109" s="92" t="str">
        <f>IF($A109="","",VLOOKUP($A109,'Annex 2 EHV charges'!$A:$O,3,0))</f>
        <v/>
      </c>
      <c r="D109" s="91" t="str">
        <f>IF($A109="","",VLOOKUP($A109,'Annex 2 EHV charges'!$A:$O,7,0))</f>
        <v/>
      </c>
      <c r="E109" s="96" t="str">
        <f>IFERROR(IF(VLOOKUP($A109,'Annex 2 EHV charges'!$A:$O,8,FALSE)=0,"",VLOOKUP($A109,'Annex 2 EHV charges'!$A:$O,8,FALSE)),"")</f>
        <v/>
      </c>
      <c r="F109" s="97" t="str">
        <f>IFERROR(IF(VLOOKUP($A109,'Annex 2 EHV charges'!$A:$O,9,FALSE)=0,"",VLOOKUP($A109,'Annex 2 EHV charges'!$A:$O,9,FALSE)),"")</f>
        <v/>
      </c>
      <c r="G109" s="98" t="str">
        <f>IFERROR(IF(VLOOKUP($A109,'Annex 2 EHV charges'!$A:$O,10,FALSE)=0,"",VLOOKUP($A109,'Annex 2 EHV charges'!$A:$O,10,FALSE)),"")</f>
        <v/>
      </c>
      <c r="H109" s="98" t="str">
        <f>IFERROR(IF(VLOOKUP($A109,'Annex 2 EHV charges'!$A:$O,11,FALSE)=0,"",VLOOKUP($A109,'Annex 2 EHV charges'!$A:$O,11,FALSE)),"")</f>
        <v/>
      </c>
    </row>
    <row r="110" spans="1:8" ht="12.75" customHeight="1" x14ac:dyDescent="0.2">
      <c r="A110" s="91" t="str">
        <f t="array" ref="A110">IFERROR(INDEX('Annex 2 EHV charges'!$A$10:$A$259, MATCH(0, IF(ISBLANK('Annex 2 EHV charges'!$A$10:$A$259),1, COUNTIF(A$4:$A109, 'Annex 2 EHV charges'!$A$10:$A$259)), 0)),"")</f>
        <v/>
      </c>
      <c r="B110" s="91" t="str">
        <f>IF($A110="","",VLOOKUP($A110,'Annex 2 EHV charges'!$A:$O,2,0))</f>
        <v/>
      </c>
      <c r="C110" s="92" t="str">
        <f>IF($A110="","",VLOOKUP($A110,'Annex 2 EHV charges'!$A:$O,3,0))</f>
        <v/>
      </c>
      <c r="D110" s="91" t="str">
        <f>IF($A110="","",VLOOKUP($A110,'Annex 2 EHV charges'!$A:$O,7,0))</f>
        <v/>
      </c>
      <c r="E110" s="96" t="str">
        <f>IFERROR(IF(VLOOKUP($A110,'Annex 2 EHV charges'!$A:$O,8,FALSE)=0,"",VLOOKUP($A110,'Annex 2 EHV charges'!$A:$O,8,FALSE)),"")</f>
        <v/>
      </c>
      <c r="F110" s="97" t="str">
        <f>IFERROR(IF(VLOOKUP($A110,'Annex 2 EHV charges'!$A:$O,9,FALSE)=0,"",VLOOKUP($A110,'Annex 2 EHV charges'!$A:$O,9,FALSE)),"")</f>
        <v/>
      </c>
      <c r="G110" s="98" t="str">
        <f>IFERROR(IF(VLOOKUP($A110,'Annex 2 EHV charges'!$A:$O,10,FALSE)=0,"",VLOOKUP($A110,'Annex 2 EHV charges'!$A:$O,10,FALSE)),"")</f>
        <v/>
      </c>
      <c r="H110" s="98" t="str">
        <f>IFERROR(IF(VLOOKUP($A110,'Annex 2 EHV charges'!$A:$O,11,FALSE)=0,"",VLOOKUP($A110,'Annex 2 EHV charges'!$A:$O,11,FALSE)),"")</f>
        <v/>
      </c>
    </row>
    <row r="111" spans="1:8" ht="12.75" customHeight="1" x14ac:dyDescent="0.2">
      <c r="A111" s="91" t="str">
        <f t="array" ref="A111">IFERROR(INDEX('Annex 2 EHV charges'!$A$10:$A$259, MATCH(0, IF(ISBLANK('Annex 2 EHV charges'!$A$10:$A$259),1, COUNTIF(A$4:$A110, 'Annex 2 EHV charges'!$A$10:$A$259)), 0)),"")</f>
        <v/>
      </c>
      <c r="B111" s="91" t="str">
        <f>IF($A111="","",VLOOKUP($A111,'Annex 2 EHV charges'!$A:$O,2,0))</f>
        <v/>
      </c>
      <c r="C111" s="92" t="str">
        <f>IF($A111="","",VLOOKUP($A111,'Annex 2 EHV charges'!$A:$O,3,0))</f>
        <v/>
      </c>
      <c r="D111" s="91" t="str">
        <f>IF($A111="","",VLOOKUP($A111,'Annex 2 EHV charges'!$A:$O,7,0))</f>
        <v/>
      </c>
      <c r="E111" s="96" t="str">
        <f>IFERROR(IF(VLOOKUP($A111,'Annex 2 EHV charges'!$A:$O,8,FALSE)=0,"",VLOOKUP($A111,'Annex 2 EHV charges'!$A:$O,8,FALSE)),"")</f>
        <v/>
      </c>
      <c r="F111" s="97" t="str">
        <f>IFERROR(IF(VLOOKUP($A111,'Annex 2 EHV charges'!$A:$O,9,FALSE)=0,"",VLOOKUP($A111,'Annex 2 EHV charges'!$A:$O,9,FALSE)),"")</f>
        <v/>
      </c>
      <c r="G111" s="98" t="str">
        <f>IFERROR(IF(VLOOKUP($A111,'Annex 2 EHV charges'!$A:$O,10,FALSE)=0,"",VLOOKUP($A111,'Annex 2 EHV charges'!$A:$O,10,FALSE)),"")</f>
        <v/>
      </c>
      <c r="H111" s="98" t="str">
        <f>IFERROR(IF(VLOOKUP($A111,'Annex 2 EHV charges'!$A:$O,11,FALSE)=0,"",VLOOKUP($A111,'Annex 2 EHV charges'!$A:$O,11,FALSE)),"")</f>
        <v/>
      </c>
    </row>
    <row r="112" spans="1:8" ht="12.75" customHeight="1" x14ac:dyDescent="0.2">
      <c r="A112" s="91" t="str">
        <f t="array" ref="A112">IFERROR(INDEX('Annex 2 EHV charges'!$A$10:$A$259, MATCH(0, IF(ISBLANK('Annex 2 EHV charges'!$A$10:$A$259),1, COUNTIF(A$4:$A111, 'Annex 2 EHV charges'!$A$10:$A$259)), 0)),"")</f>
        <v/>
      </c>
      <c r="B112" s="91" t="str">
        <f>IF($A112="","",VLOOKUP($A112,'Annex 2 EHV charges'!$A:$O,2,0))</f>
        <v/>
      </c>
      <c r="C112" s="92" t="str">
        <f>IF($A112="","",VLOOKUP($A112,'Annex 2 EHV charges'!$A:$O,3,0))</f>
        <v/>
      </c>
      <c r="D112" s="91" t="str">
        <f>IF($A112="","",VLOOKUP($A112,'Annex 2 EHV charges'!$A:$O,7,0))</f>
        <v/>
      </c>
      <c r="E112" s="96" t="str">
        <f>IFERROR(IF(VLOOKUP($A112,'Annex 2 EHV charges'!$A:$O,8,FALSE)=0,"",VLOOKUP($A112,'Annex 2 EHV charges'!$A:$O,8,FALSE)),"")</f>
        <v/>
      </c>
      <c r="F112" s="97" t="str">
        <f>IFERROR(IF(VLOOKUP($A112,'Annex 2 EHV charges'!$A:$O,9,FALSE)=0,"",VLOOKUP($A112,'Annex 2 EHV charges'!$A:$O,9,FALSE)),"")</f>
        <v/>
      </c>
      <c r="G112" s="98" t="str">
        <f>IFERROR(IF(VLOOKUP($A112,'Annex 2 EHV charges'!$A:$O,10,FALSE)=0,"",VLOOKUP($A112,'Annex 2 EHV charges'!$A:$O,10,FALSE)),"")</f>
        <v/>
      </c>
      <c r="H112" s="98" t="str">
        <f>IFERROR(IF(VLOOKUP($A112,'Annex 2 EHV charges'!$A:$O,11,FALSE)=0,"",VLOOKUP($A112,'Annex 2 EHV charges'!$A:$O,11,FALSE)),"")</f>
        <v/>
      </c>
    </row>
    <row r="113" spans="1:8" ht="12.75" customHeight="1" x14ac:dyDescent="0.2">
      <c r="A113" s="91" t="str">
        <f t="array" ref="A113">IFERROR(INDEX('Annex 2 EHV charges'!$A$10:$A$259, MATCH(0, IF(ISBLANK('Annex 2 EHV charges'!$A$10:$A$259),1, COUNTIF(A$4:$A112, 'Annex 2 EHV charges'!$A$10:$A$259)), 0)),"")</f>
        <v/>
      </c>
      <c r="B113" s="91" t="str">
        <f>IF($A113="","",VLOOKUP($A113,'Annex 2 EHV charges'!$A:$O,2,0))</f>
        <v/>
      </c>
      <c r="C113" s="92" t="str">
        <f>IF($A113="","",VLOOKUP($A113,'Annex 2 EHV charges'!$A:$O,3,0))</f>
        <v/>
      </c>
      <c r="D113" s="91" t="str">
        <f>IF($A113="","",VLOOKUP($A113,'Annex 2 EHV charges'!$A:$O,7,0))</f>
        <v/>
      </c>
      <c r="E113" s="96" t="str">
        <f>IFERROR(IF(VLOOKUP($A113,'Annex 2 EHV charges'!$A:$O,8,FALSE)=0,"",VLOOKUP($A113,'Annex 2 EHV charges'!$A:$O,8,FALSE)),"")</f>
        <v/>
      </c>
      <c r="F113" s="97" t="str">
        <f>IFERROR(IF(VLOOKUP($A113,'Annex 2 EHV charges'!$A:$O,9,FALSE)=0,"",VLOOKUP($A113,'Annex 2 EHV charges'!$A:$O,9,FALSE)),"")</f>
        <v/>
      </c>
      <c r="G113" s="98" t="str">
        <f>IFERROR(IF(VLOOKUP($A113,'Annex 2 EHV charges'!$A:$O,10,FALSE)=0,"",VLOOKUP($A113,'Annex 2 EHV charges'!$A:$O,10,FALSE)),"")</f>
        <v/>
      </c>
      <c r="H113" s="98" t="str">
        <f>IFERROR(IF(VLOOKUP($A113,'Annex 2 EHV charges'!$A:$O,11,FALSE)=0,"",VLOOKUP($A113,'Annex 2 EHV charges'!$A:$O,11,FALSE)),"")</f>
        <v/>
      </c>
    </row>
    <row r="114" spans="1:8" ht="12.75" customHeight="1" x14ac:dyDescent="0.2">
      <c r="A114" s="91" t="str">
        <f t="array" ref="A114">IFERROR(INDEX('Annex 2 EHV charges'!$A$10:$A$259, MATCH(0, IF(ISBLANK('Annex 2 EHV charges'!$A$10:$A$259),1, COUNTIF(A$4:$A113, 'Annex 2 EHV charges'!$A$10:$A$259)), 0)),"")</f>
        <v/>
      </c>
      <c r="B114" s="91" t="str">
        <f>IF($A114="","",VLOOKUP($A114,'Annex 2 EHV charges'!$A:$O,2,0))</f>
        <v/>
      </c>
      <c r="C114" s="92" t="str">
        <f>IF($A114="","",VLOOKUP($A114,'Annex 2 EHV charges'!$A:$O,3,0))</f>
        <v/>
      </c>
      <c r="D114" s="91" t="str">
        <f>IF($A114="","",VLOOKUP($A114,'Annex 2 EHV charges'!$A:$O,7,0))</f>
        <v/>
      </c>
      <c r="E114" s="96" t="str">
        <f>IFERROR(IF(VLOOKUP($A114,'Annex 2 EHV charges'!$A:$O,8,FALSE)=0,"",VLOOKUP($A114,'Annex 2 EHV charges'!$A:$O,8,FALSE)),"")</f>
        <v/>
      </c>
      <c r="F114" s="97" t="str">
        <f>IFERROR(IF(VLOOKUP($A114,'Annex 2 EHV charges'!$A:$O,9,FALSE)=0,"",VLOOKUP($A114,'Annex 2 EHV charges'!$A:$O,9,FALSE)),"")</f>
        <v/>
      </c>
      <c r="G114" s="98" t="str">
        <f>IFERROR(IF(VLOOKUP($A114,'Annex 2 EHV charges'!$A:$O,10,FALSE)=0,"",VLOOKUP($A114,'Annex 2 EHV charges'!$A:$O,10,FALSE)),"")</f>
        <v/>
      </c>
      <c r="H114" s="98" t="str">
        <f>IFERROR(IF(VLOOKUP($A114,'Annex 2 EHV charges'!$A:$O,11,FALSE)=0,"",VLOOKUP($A114,'Annex 2 EHV charges'!$A:$O,11,FALSE)),"")</f>
        <v/>
      </c>
    </row>
    <row r="115" spans="1:8" ht="12.75" customHeight="1" x14ac:dyDescent="0.2">
      <c r="A115" s="91" t="str">
        <f t="array" ref="A115">IFERROR(INDEX('Annex 2 EHV charges'!$A$10:$A$259, MATCH(0, IF(ISBLANK('Annex 2 EHV charges'!$A$10:$A$259),1, COUNTIF(A$4:$A114, 'Annex 2 EHV charges'!$A$10:$A$259)), 0)),"")</f>
        <v/>
      </c>
      <c r="B115" s="91" t="str">
        <f>IF($A115="","",VLOOKUP($A115,'Annex 2 EHV charges'!$A:$O,2,0))</f>
        <v/>
      </c>
      <c r="C115" s="92" t="str">
        <f>IF($A115="","",VLOOKUP($A115,'Annex 2 EHV charges'!$A:$O,3,0))</f>
        <v/>
      </c>
      <c r="D115" s="91" t="str">
        <f>IF($A115="","",VLOOKUP($A115,'Annex 2 EHV charges'!$A:$O,7,0))</f>
        <v/>
      </c>
      <c r="E115" s="96" t="str">
        <f>IFERROR(IF(VLOOKUP($A115,'Annex 2 EHV charges'!$A:$O,8,FALSE)=0,"",VLOOKUP($A115,'Annex 2 EHV charges'!$A:$O,8,FALSE)),"")</f>
        <v/>
      </c>
      <c r="F115" s="97" t="str">
        <f>IFERROR(IF(VLOOKUP($A115,'Annex 2 EHV charges'!$A:$O,9,FALSE)=0,"",VLOOKUP($A115,'Annex 2 EHV charges'!$A:$O,9,FALSE)),"")</f>
        <v/>
      </c>
      <c r="G115" s="98" t="str">
        <f>IFERROR(IF(VLOOKUP($A115,'Annex 2 EHV charges'!$A:$O,10,FALSE)=0,"",VLOOKUP($A115,'Annex 2 EHV charges'!$A:$O,10,FALSE)),"")</f>
        <v/>
      </c>
      <c r="H115" s="98" t="str">
        <f>IFERROR(IF(VLOOKUP($A115,'Annex 2 EHV charges'!$A:$O,11,FALSE)=0,"",VLOOKUP($A115,'Annex 2 EHV charges'!$A:$O,11,FALSE)),"")</f>
        <v/>
      </c>
    </row>
    <row r="116" spans="1:8" ht="12.75" customHeight="1" x14ac:dyDescent="0.2">
      <c r="A116" s="91" t="str">
        <f t="array" ref="A116">IFERROR(INDEX('Annex 2 EHV charges'!$A$10:$A$259, MATCH(0, IF(ISBLANK('Annex 2 EHV charges'!$A$10:$A$259),1, COUNTIF(A$4:$A115, 'Annex 2 EHV charges'!$A$10:$A$259)), 0)),"")</f>
        <v/>
      </c>
      <c r="B116" s="91" t="str">
        <f>IF($A116="","",VLOOKUP($A116,'Annex 2 EHV charges'!$A:$O,2,0))</f>
        <v/>
      </c>
      <c r="C116" s="92" t="str">
        <f>IF($A116="","",VLOOKUP($A116,'Annex 2 EHV charges'!$A:$O,3,0))</f>
        <v/>
      </c>
      <c r="D116" s="91" t="str">
        <f>IF($A116="","",VLOOKUP($A116,'Annex 2 EHV charges'!$A:$O,7,0))</f>
        <v/>
      </c>
      <c r="E116" s="96" t="str">
        <f>IFERROR(IF(VLOOKUP($A116,'Annex 2 EHV charges'!$A:$O,8,FALSE)=0,"",VLOOKUP($A116,'Annex 2 EHV charges'!$A:$O,8,FALSE)),"")</f>
        <v/>
      </c>
      <c r="F116" s="97" t="str">
        <f>IFERROR(IF(VLOOKUP($A116,'Annex 2 EHV charges'!$A:$O,9,FALSE)=0,"",VLOOKUP($A116,'Annex 2 EHV charges'!$A:$O,9,FALSE)),"")</f>
        <v/>
      </c>
      <c r="G116" s="98" t="str">
        <f>IFERROR(IF(VLOOKUP($A116,'Annex 2 EHV charges'!$A:$O,10,FALSE)=0,"",VLOOKUP($A116,'Annex 2 EHV charges'!$A:$O,10,FALSE)),"")</f>
        <v/>
      </c>
      <c r="H116" s="98" t="str">
        <f>IFERROR(IF(VLOOKUP($A116,'Annex 2 EHV charges'!$A:$O,11,FALSE)=0,"",VLOOKUP($A116,'Annex 2 EHV charges'!$A:$O,11,FALSE)),"")</f>
        <v/>
      </c>
    </row>
    <row r="117" spans="1:8" ht="12.75" customHeight="1" x14ac:dyDescent="0.2">
      <c r="A117" s="91" t="str">
        <f t="array" ref="A117">IFERROR(INDEX('Annex 2 EHV charges'!$A$10:$A$259, MATCH(0, IF(ISBLANK('Annex 2 EHV charges'!$A$10:$A$259),1, COUNTIF(A$4:$A116, 'Annex 2 EHV charges'!$A$10:$A$259)), 0)),"")</f>
        <v/>
      </c>
      <c r="B117" s="91" t="str">
        <f>IF($A117="","",VLOOKUP($A117,'Annex 2 EHV charges'!$A:$O,2,0))</f>
        <v/>
      </c>
      <c r="C117" s="92" t="str">
        <f>IF($A117="","",VLOOKUP($A117,'Annex 2 EHV charges'!$A:$O,3,0))</f>
        <v/>
      </c>
      <c r="D117" s="91" t="str">
        <f>IF($A117="","",VLOOKUP($A117,'Annex 2 EHV charges'!$A:$O,7,0))</f>
        <v/>
      </c>
      <c r="E117" s="96" t="str">
        <f>IFERROR(IF(VLOOKUP($A117,'Annex 2 EHV charges'!$A:$O,8,FALSE)=0,"",VLOOKUP($A117,'Annex 2 EHV charges'!$A:$O,8,FALSE)),"")</f>
        <v/>
      </c>
      <c r="F117" s="97" t="str">
        <f>IFERROR(IF(VLOOKUP($A117,'Annex 2 EHV charges'!$A:$O,9,FALSE)=0,"",VLOOKUP($A117,'Annex 2 EHV charges'!$A:$O,9,FALSE)),"")</f>
        <v/>
      </c>
      <c r="G117" s="98" t="str">
        <f>IFERROR(IF(VLOOKUP($A117,'Annex 2 EHV charges'!$A:$O,10,FALSE)=0,"",VLOOKUP($A117,'Annex 2 EHV charges'!$A:$O,10,FALSE)),"")</f>
        <v/>
      </c>
      <c r="H117" s="98" t="str">
        <f>IFERROR(IF(VLOOKUP($A117,'Annex 2 EHV charges'!$A:$O,11,FALSE)=0,"",VLOOKUP($A117,'Annex 2 EHV charges'!$A:$O,11,FALSE)),"")</f>
        <v/>
      </c>
    </row>
    <row r="118" spans="1:8" ht="12.75" customHeight="1" x14ac:dyDescent="0.2">
      <c r="A118" s="91" t="str">
        <f t="array" ref="A118">IFERROR(INDEX('Annex 2 EHV charges'!$A$10:$A$259, MATCH(0, IF(ISBLANK('Annex 2 EHV charges'!$A$10:$A$259),1, COUNTIF(A$4:$A117, 'Annex 2 EHV charges'!$A$10:$A$259)), 0)),"")</f>
        <v/>
      </c>
      <c r="B118" s="91" t="str">
        <f>IF($A118="","",VLOOKUP($A118,'Annex 2 EHV charges'!$A:$O,2,0))</f>
        <v/>
      </c>
      <c r="C118" s="92" t="str">
        <f>IF($A118="","",VLOOKUP($A118,'Annex 2 EHV charges'!$A:$O,3,0))</f>
        <v/>
      </c>
      <c r="D118" s="91" t="str">
        <f>IF($A118="","",VLOOKUP($A118,'Annex 2 EHV charges'!$A:$O,7,0))</f>
        <v/>
      </c>
      <c r="E118" s="96" t="str">
        <f>IFERROR(IF(VLOOKUP($A118,'Annex 2 EHV charges'!$A:$O,8,FALSE)=0,"",VLOOKUP($A118,'Annex 2 EHV charges'!$A:$O,8,FALSE)),"")</f>
        <v/>
      </c>
      <c r="F118" s="97" t="str">
        <f>IFERROR(IF(VLOOKUP($A118,'Annex 2 EHV charges'!$A:$O,9,FALSE)=0,"",VLOOKUP($A118,'Annex 2 EHV charges'!$A:$O,9,FALSE)),"")</f>
        <v/>
      </c>
      <c r="G118" s="98" t="str">
        <f>IFERROR(IF(VLOOKUP($A118,'Annex 2 EHV charges'!$A:$O,10,FALSE)=0,"",VLOOKUP($A118,'Annex 2 EHV charges'!$A:$O,10,FALSE)),"")</f>
        <v/>
      </c>
      <c r="H118" s="98" t="str">
        <f>IFERROR(IF(VLOOKUP($A118,'Annex 2 EHV charges'!$A:$O,11,FALSE)=0,"",VLOOKUP($A118,'Annex 2 EHV charges'!$A:$O,11,FALSE)),"")</f>
        <v/>
      </c>
    </row>
    <row r="119" spans="1:8" ht="12.75" customHeight="1" x14ac:dyDescent="0.2">
      <c r="A119" s="91" t="str">
        <f t="array" ref="A119">IFERROR(INDEX('Annex 2 EHV charges'!$A$10:$A$259, MATCH(0, IF(ISBLANK('Annex 2 EHV charges'!$A$10:$A$259),1, COUNTIF(A$4:$A118, 'Annex 2 EHV charges'!$A$10:$A$259)), 0)),"")</f>
        <v/>
      </c>
      <c r="B119" s="91" t="str">
        <f>IF($A119="","",VLOOKUP($A119,'Annex 2 EHV charges'!$A:$O,2,0))</f>
        <v/>
      </c>
      <c r="C119" s="92" t="str">
        <f>IF($A119="","",VLOOKUP($A119,'Annex 2 EHV charges'!$A:$O,3,0))</f>
        <v/>
      </c>
      <c r="D119" s="91" t="str">
        <f>IF($A119="","",VLOOKUP($A119,'Annex 2 EHV charges'!$A:$O,7,0))</f>
        <v/>
      </c>
      <c r="E119" s="96" t="str">
        <f>IFERROR(IF(VLOOKUP($A119,'Annex 2 EHV charges'!$A:$O,8,FALSE)=0,"",VLOOKUP($A119,'Annex 2 EHV charges'!$A:$O,8,FALSE)),"")</f>
        <v/>
      </c>
      <c r="F119" s="97" t="str">
        <f>IFERROR(IF(VLOOKUP($A119,'Annex 2 EHV charges'!$A:$O,9,FALSE)=0,"",VLOOKUP($A119,'Annex 2 EHV charges'!$A:$O,9,FALSE)),"")</f>
        <v/>
      </c>
      <c r="G119" s="98" t="str">
        <f>IFERROR(IF(VLOOKUP($A119,'Annex 2 EHV charges'!$A:$O,10,FALSE)=0,"",VLOOKUP($A119,'Annex 2 EHV charges'!$A:$O,10,FALSE)),"")</f>
        <v/>
      </c>
      <c r="H119" s="98" t="str">
        <f>IFERROR(IF(VLOOKUP($A119,'Annex 2 EHV charges'!$A:$O,11,FALSE)=0,"",VLOOKUP($A119,'Annex 2 EHV charges'!$A:$O,11,FALSE)),"")</f>
        <v/>
      </c>
    </row>
    <row r="120" spans="1:8" ht="12.75" customHeight="1" x14ac:dyDescent="0.2">
      <c r="A120" s="91" t="str">
        <f t="array" ref="A120">IFERROR(INDEX('Annex 2 EHV charges'!$A$10:$A$259, MATCH(0, IF(ISBLANK('Annex 2 EHV charges'!$A$10:$A$259),1, COUNTIF(A$4:$A119, 'Annex 2 EHV charges'!$A$10:$A$259)), 0)),"")</f>
        <v/>
      </c>
      <c r="B120" s="91" t="str">
        <f>IF($A120="","",VLOOKUP($A120,'Annex 2 EHV charges'!$A:$O,2,0))</f>
        <v/>
      </c>
      <c r="C120" s="92" t="str">
        <f>IF($A120="","",VLOOKUP($A120,'Annex 2 EHV charges'!$A:$O,3,0))</f>
        <v/>
      </c>
      <c r="D120" s="91" t="str">
        <f>IF($A120="","",VLOOKUP($A120,'Annex 2 EHV charges'!$A:$O,7,0))</f>
        <v/>
      </c>
      <c r="E120" s="96" t="str">
        <f>IFERROR(IF(VLOOKUP($A120,'Annex 2 EHV charges'!$A:$O,8,FALSE)=0,"",VLOOKUP($A120,'Annex 2 EHV charges'!$A:$O,8,FALSE)),"")</f>
        <v/>
      </c>
      <c r="F120" s="97" t="str">
        <f>IFERROR(IF(VLOOKUP($A120,'Annex 2 EHV charges'!$A:$O,9,FALSE)=0,"",VLOOKUP($A120,'Annex 2 EHV charges'!$A:$O,9,FALSE)),"")</f>
        <v/>
      </c>
      <c r="G120" s="98" t="str">
        <f>IFERROR(IF(VLOOKUP($A120,'Annex 2 EHV charges'!$A:$O,10,FALSE)=0,"",VLOOKUP($A120,'Annex 2 EHV charges'!$A:$O,10,FALSE)),"")</f>
        <v/>
      </c>
      <c r="H120" s="98" t="str">
        <f>IFERROR(IF(VLOOKUP($A120,'Annex 2 EHV charges'!$A:$O,11,FALSE)=0,"",VLOOKUP($A120,'Annex 2 EHV charges'!$A:$O,11,FALSE)),"")</f>
        <v/>
      </c>
    </row>
    <row r="121" spans="1:8" ht="12.75" customHeight="1" x14ac:dyDescent="0.2">
      <c r="A121" s="91" t="str">
        <f t="array" ref="A121">IFERROR(INDEX('Annex 2 EHV charges'!$A$10:$A$259, MATCH(0, IF(ISBLANK('Annex 2 EHV charges'!$A$10:$A$259),1, COUNTIF(A$4:$A120, 'Annex 2 EHV charges'!$A$10:$A$259)), 0)),"")</f>
        <v/>
      </c>
      <c r="B121" s="91" t="str">
        <f>IF($A121="","",VLOOKUP($A121,'Annex 2 EHV charges'!$A:$O,2,0))</f>
        <v/>
      </c>
      <c r="C121" s="92" t="str">
        <f>IF($A121="","",VLOOKUP($A121,'Annex 2 EHV charges'!$A:$O,3,0))</f>
        <v/>
      </c>
      <c r="D121" s="91" t="str">
        <f>IF($A121="","",VLOOKUP($A121,'Annex 2 EHV charges'!$A:$O,7,0))</f>
        <v/>
      </c>
      <c r="E121" s="96" t="str">
        <f>IFERROR(IF(VLOOKUP($A121,'Annex 2 EHV charges'!$A:$O,8,FALSE)=0,"",VLOOKUP($A121,'Annex 2 EHV charges'!$A:$O,8,FALSE)),"")</f>
        <v/>
      </c>
      <c r="F121" s="97" t="str">
        <f>IFERROR(IF(VLOOKUP($A121,'Annex 2 EHV charges'!$A:$O,9,FALSE)=0,"",VLOOKUP($A121,'Annex 2 EHV charges'!$A:$O,9,FALSE)),"")</f>
        <v/>
      </c>
      <c r="G121" s="98" t="str">
        <f>IFERROR(IF(VLOOKUP($A121,'Annex 2 EHV charges'!$A:$O,10,FALSE)=0,"",VLOOKUP($A121,'Annex 2 EHV charges'!$A:$O,10,FALSE)),"")</f>
        <v/>
      </c>
      <c r="H121" s="98" t="str">
        <f>IFERROR(IF(VLOOKUP($A121,'Annex 2 EHV charges'!$A:$O,11,FALSE)=0,"",VLOOKUP($A121,'Annex 2 EHV charges'!$A:$O,11,FALSE)),"")</f>
        <v/>
      </c>
    </row>
    <row r="122" spans="1:8" ht="12.75" customHeight="1" x14ac:dyDescent="0.2">
      <c r="A122" s="91" t="str">
        <f t="array" ref="A122">IFERROR(INDEX('Annex 2 EHV charges'!$A$10:$A$259, MATCH(0, IF(ISBLANK('Annex 2 EHV charges'!$A$10:$A$259),1, COUNTIF(A$4:$A121, 'Annex 2 EHV charges'!$A$10:$A$259)), 0)),"")</f>
        <v/>
      </c>
      <c r="B122" s="91" t="str">
        <f>IF($A122="","",VLOOKUP($A122,'Annex 2 EHV charges'!$A:$O,2,0))</f>
        <v/>
      </c>
      <c r="C122" s="92" t="str">
        <f>IF($A122="","",VLOOKUP($A122,'Annex 2 EHV charges'!$A:$O,3,0))</f>
        <v/>
      </c>
      <c r="D122" s="91" t="str">
        <f>IF($A122="","",VLOOKUP($A122,'Annex 2 EHV charges'!$A:$O,7,0))</f>
        <v/>
      </c>
      <c r="E122" s="96" t="str">
        <f>IFERROR(IF(VLOOKUP($A122,'Annex 2 EHV charges'!$A:$O,8,FALSE)=0,"",VLOOKUP($A122,'Annex 2 EHV charges'!$A:$O,8,FALSE)),"")</f>
        <v/>
      </c>
      <c r="F122" s="97" t="str">
        <f>IFERROR(IF(VLOOKUP($A122,'Annex 2 EHV charges'!$A:$O,9,FALSE)=0,"",VLOOKUP($A122,'Annex 2 EHV charges'!$A:$O,9,FALSE)),"")</f>
        <v/>
      </c>
      <c r="G122" s="98" t="str">
        <f>IFERROR(IF(VLOOKUP($A122,'Annex 2 EHV charges'!$A:$O,10,FALSE)=0,"",VLOOKUP($A122,'Annex 2 EHV charges'!$A:$O,10,FALSE)),"")</f>
        <v/>
      </c>
      <c r="H122" s="98" t="str">
        <f>IFERROR(IF(VLOOKUP($A122,'Annex 2 EHV charges'!$A:$O,11,FALSE)=0,"",VLOOKUP($A122,'Annex 2 EHV charges'!$A:$O,11,FALSE)),"")</f>
        <v/>
      </c>
    </row>
    <row r="123" spans="1:8" ht="12.75" customHeight="1" x14ac:dyDescent="0.2">
      <c r="A123" s="91" t="str">
        <f t="array" ref="A123">IFERROR(INDEX('Annex 2 EHV charges'!$A$10:$A$259, MATCH(0, IF(ISBLANK('Annex 2 EHV charges'!$A$10:$A$259),1, COUNTIF(A$4:$A122, 'Annex 2 EHV charges'!$A$10:$A$259)), 0)),"")</f>
        <v/>
      </c>
      <c r="B123" s="91" t="str">
        <f>IF($A123="","",VLOOKUP($A123,'Annex 2 EHV charges'!$A:$O,2,0))</f>
        <v/>
      </c>
      <c r="C123" s="92" t="str">
        <f>IF($A123="","",VLOOKUP($A123,'Annex 2 EHV charges'!$A:$O,3,0))</f>
        <v/>
      </c>
      <c r="D123" s="91" t="str">
        <f>IF($A123="","",VLOOKUP($A123,'Annex 2 EHV charges'!$A:$O,7,0))</f>
        <v/>
      </c>
      <c r="E123" s="96" t="str">
        <f>IFERROR(IF(VLOOKUP($A123,'Annex 2 EHV charges'!$A:$O,8,FALSE)=0,"",VLOOKUP($A123,'Annex 2 EHV charges'!$A:$O,8,FALSE)),"")</f>
        <v/>
      </c>
      <c r="F123" s="97" t="str">
        <f>IFERROR(IF(VLOOKUP($A123,'Annex 2 EHV charges'!$A:$O,9,FALSE)=0,"",VLOOKUP($A123,'Annex 2 EHV charges'!$A:$O,9,FALSE)),"")</f>
        <v/>
      </c>
      <c r="G123" s="98" t="str">
        <f>IFERROR(IF(VLOOKUP($A123,'Annex 2 EHV charges'!$A:$O,10,FALSE)=0,"",VLOOKUP($A123,'Annex 2 EHV charges'!$A:$O,10,FALSE)),"")</f>
        <v/>
      </c>
      <c r="H123" s="98" t="str">
        <f>IFERROR(IF(VLOOKUP($A123,'Annex 2 EHV charges'!$A:$O,11,FALSE)=0,"",VLOOKUP($A123,'Annex 2 EHV charges'!$A:$O,11,FALSE)),"")</f>
        <v/>
      </c>
    </row>
    <row r="124" spans="1:8" ht="12.75" customHeight="1" x14ac:dyDescent="0.2">
      <c r="A124" s="91" t="str">
        <f t="array" ref="A124">IFERROR(INDEX('Annex 2 EHV charges'!$A$10:$A$259, MATCH(0, IF(ISBLANK('Annex 2 EHV charges'!$A$10:$A$259),1, COUNTIF(A$4:$A123, 'Annex 2 EHV charges'!$A$10:$A$259)), 0)),"")</f>
        <v/>
      </c>
      <c r="B124" s="91" t="str">
        <f>IF($A124="","",VLOOKUP($A124,'Annex 2 EHV charges'!$A:$O,2,0))</f>
        <v/>
      </c>
      <c r="C124" s="92" t="str">
        <f>IF($A124="","",VLOOKUP($A124,'Annex 2 EHV charges'!$A:$O,3,0))</f>
        <v/>
      </c>
      <c r="D124" s="91" t="str">
        <f>IF($A124="","",VLOOKUP($A124,'Annex 2 EHV charges'!$A:$O,7,0))</f>
        <v/>
      </c>
      <c r="E124" s="96" t="str">
        <f>IFERROR(IF(VLOOKUP($A124,'Annex 2 EHV charges'!$A:$O,8,FALSE)=0,"",VLOOKUP($A124,'Annex 2 EHV charges'!$A:$O,8,FALSE)),"")</f>
        <v/>
      </c>
      <c r="F124" s="97" t="str">
        <f>IFERROR(IF(VLOOKUP($A124,'Annex 2 EHV charges'!$A:$O,9,FALSE)=0,"",VLOOKUP($A124,'Annex 2 EHV charges'!$A:$O,9,FALSE)),"")</f>
        <v/>
      </c>
      <c r="G124" s="98" t="str">
        <f>IFERROR(IF(VLOOKUP($A124,'Annex 2 EHV charges'!$A:$O,10,FALSE)=0,"",VLOOKUP($A124,'Annex 2 EHV charges'!$A:$O,10,FALSE)),"")</f>
        <v/>
      </c>
      <c r="H124" s="98" t="str">
        <f>IFERROR(IF(VLOOKUP($A124,'Annex 2 EHV charges'!$A:$O,11,FALSE)=0,"",VLOOKUP($A124,'Annex 2 EHV charges'!$A:$O,11,FALSE)),"")</f>
        <v/>
      </c>
    </row>
    <row r="125" spans="1:8" ht="12.75" customHeight="1" x14ac:dyDescent="0.2">
      <c r="A125" s="91" t="str">
        <f t="array" ref="A125">IFERROR(INDEX('Annex 2 EHV charges'!$A$10:$A$259, MATCH(0, IF(ISBLANK('Annex 2 EHV charges'!$A$10:$A$259),1, COUNTIF(A$4:$A124, 'Annex 2 EHV charges'!$A$10:$A$259)), 0)),"")</f>
        <v/>
      </c>
      <c r="B125" s="91" t="str">
        <f>IF($A125="","",VLOOKUP($A125,'Annex 2 EHV charges'!$A:$O,2,0))</f>
        <v/>
      </c>
      <c r="C125" s="92" t="str">
        <f>IF($A125="","",VLOOKUP($A125,'Annex 2 EHV charges'!$A:$O,3,0))</f>
        <v/>
      </c>
      <c r="D125" s="91" t="str">
        <f>IF($A125="","",VLOOKUP($A125,'Annex 2 EHV charges'!$A:$O,7,0))</f>
        <v/>
      </c>
      <c r="E125" s="96" t="str">
        <f>IFERROR(IF(VLOOKUP($A125,'Annex 2 EHV charges'!$A:$O,8,FALSE)=0,"",VLOOKUP($A125,'Annex 2 EHV charges'!$A:$O,8,FALSE)),"")</f>
        <v/>
      </c>
      <c r="F125" s="97" t="str">
        <f>IFERROR(IF(VLOOKUP($A125,'Annex 2 EHV charges'!$A:$O,9,FALSE)=0,"",VLOOKUP($A125,'Annex 2 EHV charges'!$A:$O,9,FALSE)),"")</f>
        <v/>
      </c>
      <c r="G125" s="98" t="str">
        <f>IFERROR(IF(VLOOKUP($A125,'Annex 2 EHV charges'!$A:$O,10,FALSE)=0,"",VLOOKUP($A125,'Annex 2 EHV charges'!$A:$O,10,FALSE)),"")</f>
        <v/>
      </c>
      <c r="H125" s="98" t="str">
        <f>IFERROR(IF(VLOOKUP($A125,'Annex 2 EHV charges'!$A:$O,11,FALSE)=0,"",VLOOKUP($A125,'Annex 2 EHV charges'!$A:$O,11,FALSE)),"")</f>
        <v/>
      </c>
    </row>
    <row r="126" spans="1:8" ht="12.75" customHeight="1" x14ac:dyDescent="0.2">
      <c r="A126" s="91" t="str">
        <f t="array" ref="A126">IFERROR(INDEX('Annex 2 EHV charges'!$A$10:$A$259, MATCH(0, IF(ISBLANK('Annex 2 EHV charges'!$A$10:$A$259),1, COUNTIF(A$4:$A125, 'Annex 2 EHV charges'!$A$10:$A$259)), 0)),"")</f>
        <v/>
      </c>
      <c r="B126" s="91" t="str">
        <f>IF($A126="","",VLOOKUP($A126,'Annex 2 EHV charges'!$A:$O,2,0))</f>
        <v/>
      </c>
      <c r="C126" s="92" t="str">
        <f>IF($A126="","",VLOOKUP($A126,'Annex 2 EHV charges'!$A:$O,3,0))</f>
        <v/>
      </c>
      <c r="D126" s="91" t="str">
        <f>IF($A126="","",VLOOKUP($A126,'Annex 2 EHV charges'!$A:$O,7,0))</f>
        <v/>
      </c>
      <c r="E126" s="96" t="str">
        <f>IFERROR(IF(VLOOKUP($A126,'Annex 2 EHV charges'!$A:$O,8,FALSE)=0,"",VLOOKUP($A126,'Annex 2 EHV charges'!$A:$O,8,FALSE)),"")</f>
        <v/>
      </c>
      <c r="F126" s="97" t="str">
        <f>IFERROR(IF(VLOOKUP($A126,'Annex 2 EHV charges'!$A:$O,9,FALSE)=0,"",VLOOKUP($A126,'Annex 2 EHV charges'!$A:$O,9,FALSE)),"")</f>
        <v/>
      </c>
      <c r="G126" s="98" t="str">
        <f>IFERROR(IF(VLOOKUP($A126,'Annex 2 EHV charges'!$A:$O,10,FALSE)=0,"",VLOOKUP($A126,'Annex 2 EHV charges'!$A:$O,10,FALSE)),"")</f>
        <v/>
      </c>
      <c r="H126" s="98" t="str">
        <f>IFERROR(IF(VLOOKUP($A126,'Annex 2 EHV charges'!$A:$O,11,FALSE)=0,"",VLOOKUP($A126,'Annex 2 EHV charges'!$A:$O,11,FALSE)),"")</f>
        <v/>
      </c>
    </row>
    <row r="127" spans="1:8" ht="12.75" customHeight="1" x14ac:dyDescent="0.2">
      <c r="A127" s="91" t="str">
        <f t="array" ref="A127">IFERROR(INDEX('Annex 2 EHV charges'!$A$10:$A$259, MATCH(0, IF(ISBLANK('Annex 2 EHV charges'!$A$10:$A$259),1, COUNTIF(A$4:$A126, 'Annex 2 EHV charges'!$A$10:$A$259)), 0)),"")</f>
        <v/>
      </c>
      <c r="B127" s="91" t="str">
        <f>IF($A127="","",VLOOKUP($A127,'Annex 2 EHV charges'!$A:$O,2,0))</f>
        <v/>
      </c>
      <c r="C127" s="92" t="str">
        <f>IF($A127="","",VLOOKUP($A127,'Annex 2 EHV charges'!$A:$O,3,0))</f>
        <v/>
      </c>
      <c r="D127" s="91" t="str">
        <f>IF($A127="","",VLOOKUP($A127,'Annex 2 EHV charges'!$A:$O,7,0))</f>
        <v/>
      </c>
      <c r="E127" s="96" t="str">
        <f>IFERROR(IF(VLOOKUP($A127,'Annex 2 EHV charges'!$A:$O,8,FALSE)=0,"",VLOOKUP($A127,'Annex 2 EHV charges'!$A:$O,8,FALSE)),"")</f>
        <v/>
      </c>
      <c r="F127" s="97" t="str">
        <f>IFERROR(IF(VLOOKUP($A127,'Annex 2 EHV charges'!$A:$O,9,FALSE)=0,"",VLOOKUP($A127,'Annex 2 EHV charges'!$A:$O,9,FALSE)),"")</f>
        <v/>
      </c>
      <c r="G127" s="98" t="str">
        <f>IFERROR(IF(VLOOKUP($A127,'Annex 2 EHV charges'!$A:$O,10,FALSE)=0,"",VLOOKUP($A127,'Annex 2 EHV charges'!$A:$O,10,FALSE)),"")</f>
        <v/>
      </c>
      <c r="H127" s="98" t="str">
        <f>IFERROR(IF(VLOOKUP($A127,'Annex 2 EHV charges'!$A:$O,11,FALSE)=0,"",VLOOKUP($A127,'Annex 2 EHV charges'!$A:$O,11,FALSE)),"")</f>
        <v/>
      </c>
    </row>
    <row r="128" spans="1:8" ht="12.75" customHeight="1" x14ac:dyDescent="0.2">
      <c r="A128" s="91" t="str">
        <f t="array" ref="A128">IFERROR(INDEX('Annex 2 EHV charges'!$A$10:$A$259, MATCH(0, IF(ISBLANK('Annex 2 EHV charges'!$A$10:$A$259),1, COUNTIF(A$4:$A127, 'Annex 2 EHV charges'!$A$10:$A$259)), 0)),"")</f>
        <v/>
      </c>
      <c r="B128" s="91" t="str">
        <f>IF($A128="","",VLOOKUP($A128,'Annex 2 EHV charges'!$A:$O,2,0))</f>
        <v/>
      </c>
      <c r="C128" s="92" t="str">
        <f>IF($A128="","",VLOOKUP($A128,'Annex 2 EHV charges'!$A:$O,3,0))</f>
        <v/>
      </c>
      <c r="D128" s="91" t="str">
        <f>IF($A128="","",VLOOKUP($A128,'Annex 2 EHV charges'!$A:$O,7,0))</f>
        <v/>
      </c>
      <c r="E128" s="96" t="str">
        <f>IFERROR(IF(VLOOKUP($A128,'Annex 2 EHV charges'!$A:$O,8,FALSE)=0,"",VLOOKUP($A128,'Annex 2 EHV charges'!$A:$O,8,FALSE)),"")</f>
        <v/>
      </c>
      <c r="F128" s="97" t="str">
        <f>IFERROR(IF(VLOOKUP($A128,'Annex 2 EHV charges'!$A:$O,9,FALSE)=0,"",VLOOKUP($A128,'Annex 2 EHV charges'!$A:$O,9,FALSE)),"")</f>
        <v/>
      </c>
      <c r="G128" s="98" t="str">
        <f>IFERROR(IF(VLOOKUP($A128,'Annex 2 EHV charges'!$A:$O,10,FALSE)=0,"",VLOOKUP($A128,'Annex 2 EHV charges'!$A:$O,10,FALSE)),"")</f>
        <v/>
      </c>
      <c r="H128" s="98" t="str">
        <f>IFERROR(IF(VLOOKUP($A128,'Annex 2 EHV charges'!$A:$O,11,FALSE)=0,"",VLOOKUP($A128,'Annex 2 EHV charges'!$A:$O,11,FALSE)),"")</f>
        <v/>
      </c>
    </row>
    <row r="129" spans="1:8" ht="12.75" customHeight="1" x14ac:dyDescent="0.2">
      <c r="A129" s="91" t="str">
        <f t="array" ref="A129">IFERROR(INDEX('Annex 2 EHV charges'!$A$10:$A$259, MATCH(0, IF(ISBLANK('Annex 2 EHV charges'!$A$10:$A$259),1, COUNTIF(A$4:$A128, 'Annex 2 EHV charges'!$A$10:$A$259)), 0)),"")</f>
        <v/>
      </c>
      <c r="B129" s="91" t="str">
        <f>IF($A129="","",VLOOKUP($A129,'Annex 2 EHV charges'!$A:$O,2,0))</f>
        <v/>
      </c>
      <c r="C129" s="92" t="str">
        <f>IF($A129="","",VLOOKUP($A129,'Annex 2 EHV charges'!$A:$O,3,0))</f>
        <v/>
      </c>
      <c r="D129" s="91" t="str">
        <f>IF($A129="","",VLOOKUP($A129,'Annex 2 EHV charges'!$A:$O,7,0))</f>
        <v/>
      </c>
      <c r="E129" s="96" t="str">
        <f>IFERROR(IF(VLOOKUP($A129,'Annex 2 EHV charges'!$A:$O,8,FALSE)=0,"",VLOOKUP($A129,'Annex 2 EHV charges'!$A:$O,8,FALSE)),"")</f>
        <v/>
      </c>
      <c r="F129" s="97" t="str">
        <f>IFERROR(IF(VLOOKUP($A129,'Annex 2 EHV charges'!$A:$O,9,FALSE)=0,"",VLOOKUP($A129,'Annex 2 EHV charges'!$A:$O,9,FALSE)),"")</f>
        <v/>
      </c>
      <c r="G129" s="98" t="str">
        <f>IFERROR(IF(VLOOKUP($A129,'Annex 2 EHV charges'!$A:$O,10,FALSE)=0,"",VLOOKUP($A129,'Annex 2 EHV charges'!$A:$O,10,FALSE)),"")</f>
        <v/>
      </c>
      <c r="H129" s="98" t="str">
        <f>IFERROR(IF(VLOOKUP($A129,'Annex 2 EHV charges'!$A:$O,11,FALSE)=0,"",VLOOKUP($A129,'Annex 2 EHV charges'!$A:$O,11,FALSE)),"")</f>
        <v/>
      </c>
    </row>
    <row r="130" spans="1:8" ht="12.75" customHeight="1" x14ac:dyDescent="0.2">
      <c r="A130" s="91" t="str">
        <f t="array" ref="A130">IFERROR(INDEX('Annex 2 EHV charges'!$A$10:$A$259, MATCH(0, IF(ISBLANK('Annex 2 EHV charges'!$A$10:$A$259),1, COUNTIF(A$4:$A129, 'Annex 2 EHV charges'!$A$10:$A$259)), 0)),"")</f>
        <v/>
      </c>
      <c r="B130" s="91" t="str">
        <f>IF($A130="","",VLOOKUP($A130,'Annex 2 EHV charges'!$A:$O,2,0))</f>
        <v/>
      </c>
      <c r="C130" s="92" t="str">
        <f>IF($A130="","",VLOOKUP($A130,'Annex 2 EHV charges'!$A:$O,3,0))</f>
        <v/>
      </c>
      <c r="D130" s="91" t="str">
        <f>IF($A130="","",VLOOKUP($A130,'Annex 2 EHV charges'!$A:$O,7,0))</f>
        <v/>
      </c>
      <c r="E130" s="96" t="str">
        <f>IFERROR(IF(VLOOKUP($A130,'Annex 2 EHV charges'!$A:$O,8,FALSE)=0,"",VLOOKUP($A130,'Annex 2 EHV charges'!$A:$O,8,FALSE)),"")</f>
        <v/>
      </c>
      <c r="F130" s="97" t="str">
        <f>IFERROR(IF(VLOOKUP($A130,'Annex 2 EHV charges'!$A:$O,9,FALSE)=0,"",VLOOKUP($A130,'Annex 2 EHV charges'!$A:$O,9,FALSE)),"")</f>
        <v/>
      </c>
      <c r="G130" s="98" t="str">
        <f>IFERROR(IF(VLOOKUP($A130,'Annex 2 EHV charges'!$A:$O,10,FALSE)=0,"",VLOOKUP($A130,'Annex 2 EHV charges'!$A:$O,10,FALSE)),"")</f>
        <v/>
      </c>
      <c r="H130" s="98" t="str">
        <f>IFERROR(IF(VLOOKUP($A130,'Annex 2 EHV charges'!$A:$O,11,FALSE)=0,"",VLOOKUP($A130,'Annex 2 EHV charges'!$A:$O,11,FALSE)),"")</f>
        <v/>
      </c>
    </row>
    <row r="131" spans="1:8" ht="12.75" customHeight="1" x14ac:dyDescent="0.2">
      <c r="A131" s="91" t="str">
        <f t="array" ref="A131">IFERROR(INDEX('Annex 2 EHV charges'!$A$10:$A$259, MATCH(0, IF(ISBLANK('Annex 2 EHV charges'!$A$10:$A$259),1, COUNTIF(A$4:$A130, 'Annex 2 EHV charges'!$A$10:$A$259)), 0)),"")</f>
        <v/>
      </c>
      <c r="B131" s="91" t="str">
        <f>IF($A131="","",VLOOKUP($A131,'Annex 2 EHV charges'!$A:$O,2,0))</f>
        <v/>
      </c>
      <c r="C131" s="92" t="str">
        <f>IF($A131="","",VLOOKUP($A131,'Annex 2 EHV charges'!$A:$O,3,0))</f>
        <v/>
      </c>
      <c r="D131" s="91" t="str">
        <f>IF($A131="","",VLOOKUP($A131,'Annex 2 EHV charges'!$A:$O,7,0))</f>
        <v/>
      </c>
      <c r="E131" s="96" t="str">
        <f>IFERROR(IF(VLOOKUP($A131,'Annex 2 EHV charges'!$A:$O,8,FALSE)=0,"",VLOOKUP($A131,'Annex 2 EHV charges'!$A:$O,8,FALSE)),"")</f>
        <v/>
      </c>
      <c r="F131" s="97" t="str">
        <f>IFERROR(IF(VLOOKUP($A131,'Annex 2 EHV charges'!$A:$O,9,FALSE)=0,"",VLOOKUP($A131,'Annex 2 EHV charges'!$A:$O,9,FALSE)),"")</f>
        <v/>
      </c>
      <c r="G131" s="98" t="str">
        <f>IFERROR(IF(VLOOKUP($A131,'Annex 2 EHV charges'!$A:$O,10,FALSE)=0,"",VLOOKUP($A131,'Annex 2 EHV charges'!$A:$O,10,FALSE)),"")</f>
        <v/>
      </c>
      <c r="H131" s="98" t="str">
        <f>IFERROR(IF(VLOOKUP($A131,'Annex 2 EHV charges'!$A:$O,11,FALSE)=0,"",VLOOKUP($A131,'Annex 2 EHV charges'!$A:$O,11,FALSE)),"")</f>
        <v/>
      </c>
    </row>
    <row r="132" spans="1:8" ht="12.75" customHeight="1" x14ac:dyDescent="0.2">
      <c r="A132" s="91" t="str">
        <f t="array" ref="A132">IFERROR(INDEX('Annex 2 EHV charges'!$A$10:$A$259, MATCH(0, IF(ISBLANK('Annex 2 EHV charges'!$A$10:$A$259),1, COUNTIF(A$4:$A131, 'Annex 2 EHV charges'!$A$10:$A$259)), 0)),"")</f>
        <v/>
      </c>
      <c r="B132" s="91" t="str">
        <f>IF($A132="","",VLOOKUP($A132,'Annex 2 EHV charges'!$A:$O,2,0))</f>
        <v/>
      </c>
      <c r="C132" s="92" t="str">
        <f>IF($A132="","",VLOOKUP($A132,'Annex 2 EHV charges'!$A:$O,3,0))</f>
        <v/>
      </c>
      <c r="D132" s="91" t="str">
        <f>IF($A132="","",VLOOKUP($A132,'Annex 2 EHV charges'!$A:$O,7,0))</f>
        <v/>
      </c>
      <c r="E132" s="96" t="str">
        <f>IFERROR(IF(VLOOKUP($A132,'Annex 2 EHV charges'!$A:$O,8,FALSE)=0,"",VLOOKUP($A132,'Annex 2 EHV charges'!$A:$O,8,FALSE)),"")</f>
        <v/>
      </c>
      <c r="F132" s="97" t="str">
        <f>IFERROR(IF(VLOOKUP($A132,'Annex 2 EHV charges'!$A:$O,9,FALSE)=0,"",VLOOKUP($A132,'Annex 2 EHV charges'!$A:$O,9,FALSE)),"")</f>
        <v/>
      </c>
      <c r="G132" s="98" t="str">
        <f>IFERROR(IF(VLOOKUP($A132,'Annex 2 EHV charges'!$A:$O,10,FALSE)=0,"",VLOOKUP($A132,'Annex 2 EHV charges'!$A:$O,10,FALSE)),"")</f>
        <v/>
      </c>
      <c r="H132" s="98" t="str">
        <f>IFERROR(IF(VLOOKUP($A132,'Annex 2 EHV charges'!$A:$O,11,FALSE)=0,"",VLOOKUP($A132,'Annex 2 EHV charges'!$A:$O,11,FALSE)),"")</f>
        <v/>
      </c>
    </row>
    <row r="133" spans="1:8" ht="12.75" customHeight="1" x14ac:dyDescent="0.2">
      <c r="A133" s="91" t="str">
        <f t="array" ref="A133">IFERROR(INDEX('Annex 2 EHV charges'!$A$10:$A$259, MATCH(0, IF(ISBLANK('Annex 2 EHV charges'!$A$10:$A$259),1, COUNTIF(A$4:$A132, 'Annex 2 EHV charges'!$A$10:$A$259)), 0)),"")</f>
        <v/>
      </c>
      <c r="B133" s="91" t="str">
        <f>IF($A133="","",VLOOKUP($A133,'Annex 2 EHV charges'!$A:$O,2,0))</f>
        <v/>
      </c>
      <c r="C133" s="92" t="str">
        <f>IF($A133="","",VLOOKUP($A133,'Annex 2 EHV charges'!$A:$O,3,0))</f>
        <v/>
      </c>
      <c r="D133" s="91" t="str">
        <f>IF($A133="","",VLOOKUP($A133,'Annex 2 EHV charges'!$A:$O,7,0))</f>
        <v/>
      </c>
      <c r="E133" s="96" t="str">
        <f>IFERROR(IF(VLOOKUP($A133,'Annex 2 EHV charges'!$A:$O,8,FALSE)=0,"",VLOOKUP($A133,'Annex 2 EHV charges'!$A:$O,8,FALSE)),"")</f>
        <v/>
      </c>
      <c r="F133" s="97" t="str">
        <f>IFERROR(IF(VLOOKUP($A133,'Annex 2 EHV charges'!$A:$O,9,FALSE)=0,"",VLOOKUP($A133,'Annex 2 EHV charges'!$A:$O,9,FALSE)),"")</f>
        <v/>
      </c>
      <c r="G133" s="98" t="str">
        <f>IFERROR(IF(VLOOKUP($A133,'Annex 2 EHV charges'!$A:$O,10,FALSE)=0,"",VLOOKUP($A133,'Annex 2 EHV charges'!$A:$O,10,FALSE)),"")</f>
        <v/>
      </c>
      <c r="H133" s="98" t="str">
        <f>IFERROR(IF(VLOOKUP($A133,'Annex 2 EHV charges'!$A:$O,11,FALSE)=0,"",VLOOKUP($A133,'Annex 2 EHV charges'!$A:$O,11,FALSE)),"")</f>
        <v/>
      </c>
    </row>
    <row r="134" spans="1:8" ht="12.75" customHeight="1" x14ac:dyDescent="0.2">
      <c r="A134" s="91" t="str">
        <f t="array" ref="A134">IFERROR(INDEX('Annex 2 EHV charges'!$A$10:$A$259, MATCH(0, IF(ISBLANK('Annex 2 EHV charges'!$A$10:$A$259),1, COUNTIF(A$4:$A133, 'Annex 2 EHV charges'!$A$10:$A$259)), 0)),"")</f>
        <v/>
      </c>
      <c r="B134" s="91" t="str">
        <f>IF($A134="","",VLOOKUP($A134,'Annex 2 EHV charges'!$A:$O,2,0))</f>
        <v/>
      </c>
      <c r="C134" s="92" t="str">
        <f>IF($A134="","",VLOOKUP($A134,'Annex 2 EHV charges'!$A:$O,3,0))</f>
        <v/>
      </c>
      <c r="D134" s="91" t="str">
        <f>IF($A134="","",VLOOKUP($A134,'Annex 2 EHV charges'!$A:$O,7,0))</f>
        <v/>
      </c>
      <c r="E134" s="96" t="str">
        <f>IFERROR(IF(VLOOKUP($A134,'Annex 2 EHV charges'!$A:$O,8,FALSE)=0,"",VLOOKUP($A134,'Annex 2 EHV charges'!$A:$O,8,FALSE)),"")</f>
        <v/>
      </c>
      <c r="F134" s="97" t="str">
        <f>IFERROR(IF(VLOOKUP($A134,'Annex 2 EHV charges'!$A:$O,9,FALSE)=0,"",VLOOKUP($A134,'Annex 2 EHV charges'!$A:$O,9,FALSE)),"")</f>
        <v/>
      </c>
      <c r="G134" s="98" t="str">
        <f>IFERROR(IF(VLOOKUP($A134,'Annex 2 EHV charges'!$A:$O,10,FALSE)=0,"",VLOOKUP($A134,'Annex 2 EHV charges'!$A:$O,10,FALSE)),"")</f>
        <v/>
      </c>
      <c r="H134" s="98" t="str">
        <f>IFERROR(IF(VLOOKUP($A134,'Annex 2 EHV charges'!$A:$O,11,FALSE)=0,"",VLOOKUP($A134,'Annex 2 EHV charges'!$A:$O,11,FALSE)),"")</f>
        <v/>
      </c>
    </row>
    <row r="135" spans="1:8" ht="12.75" customHeight="1" x14ac:dyDescent="0.2">
      <c r="A135" s="91" t="str">
        <f t="array" ref="A135">IFERROR(INDEX('Annex 2 EHV charges'!$A$10:$A$259, MATCH(0, IF(ISBLANK('Annex 2 EHV charges'!$A$10:$A$259),1, COUNTIF(A$4:$A134, 'Annex 2 EHV charges'!$A$10:$A$259)), 0)),"")</f>
        <v/>
      </c>
      <c r="B135" s="91" t="str">
        <f>IF($A135="","",VLOOKUP($A135,'Annex 2 EHV charges'!$A:$O,2,0))</f>
        <v/>
      </c>
      <c r="C135" s="92" t="str">
        <f>IF($A135="","",VLOOKUP($A135,'Annex 2 EHV charges'!$A:$O,3,0))</f>
        <v/>
      </c>
      <c r="D135" s="91" t="str">
        <f>IF($A135="","",VLOOKUP($A135,'Annex 2 EHV charges'!$A:$O,7,0))</f>
        <v/>
      </c>
      <c r="E135" s="96" t="str">
        <f>IFERROR(IF(VLOOKUP($A135,'Annex 2 EHV charges'!$A:$O,8,FALSE)=0,"",VLOOKUP($A135,'Annex 2 EHV charges'!$A:$O,8,FALSE)),"")</f>
        <v/>
      </c>
      <c r="F135" s="97" t="str">
        <f>IFERROR(IF(VLOOKUP($A135,'Annex 2 EHV charges'!$A:$O,9,FALSE)=0,"",VLOOKUP($A135,'Annex 2 EHV charges'!$A:$O,9,FALSE)),"")</f>
        <v/>
      </c>
      <c r="G135" s="98" t="str">
        <f>IFERROR(IF(VLOOKUP($A135,'Annex 2 EHV charges'!$A:$O,10,FALSE)=0,"",VLOOKUP($A135,'Annex 2 EHV charges'!$A:$O,10,FALSE)),"")</f>
        <v/>
      </c>
      <c r="H135" s="98" t="str">
        <f>IFERROR(IF(VLOOKUP($A135,'Annex 2 EHV charges'!$A:$O,11,FALSE)=0,"",VLOOKUP($A135,'Annex 2 EHV charges'!$A:$O,11,FALSE)),"")</f>
        <v/>
      </c>
    </row>
    <row r="136" spans="1:8" ht="12.75" customHeight="1" x14ac:dyDescent="0.2">
      <c r="A136" s="91" t="str">
        <f t="array" ref="A136">IFERROR(INDEX('Annex 2 EHV charges'!$A$10:$A$259, MATCH(0, IF(ISBLANK('Annex 2 EHV charges'!$A$10:$A$259),1, COUNTIF(A$4:$A135, 'Annex 2 EHV charges'!$A$10:$A$259)), 0)),"")</f>
        <v/>
      </c>
      <c r="B136" s="91" t="str">
        <f>IF($A136="","",VLOOKUP($A136,'Annex 2 EHV charges'!$A:$O,2,0))</f>
        <v/>
      </c>
      <c r="C136" s="92" t="str">
        <f>IF($A136="","",VLOOKUP($A136,'Annex 2 EHV charges'!$A:$O,3,0))</f>
        <v/>
      </c>
      <c r="D136" s="91" t="str">
        <f>IF($A136="","",VLOOKUP($A136,'Annex 2 EHV charges'!$A:$O,7,0))</f>
        <v/>
      </c>
      <c r="E136" s="96" t="str">
        <f>IFERROR(IF(VLOOKUP($A136,'Annex 2 EHV charges'!$A:$O,8,FALSE)=0,"",VLOOKUP($A136,'Annex 2 EHV charges'!$A:$O,8,FALSE)),"")</f>
        <v/>
      </c>
      <c r="F136" s="97" t="str">
        <f>IFERROR(IF(VLOOKUP($A136,'Annex 2 EHV charges'!$A:$O,9,FALSE)=0,"",VLOOKUP($A136,'Annex 2 EHV charges'!$A:$O,9,FALSE)),"")</f>
        <v/>
      </c>
      <c r="G136" s="98" t="str">
        <f>IFERROR(IF(VLOOKUP($A136,'Annex 2 EHV charges'!$A:$O,10,FALSE)=0,"",VLOOKUP($A136,'Annex 2 EHV charges'!$A:$O,10,FALSE)),"")</f>
        <v/>
      </c>
      <c r="H136" s="98" t="str">
        <f>IFERROR(IF(VLOOKUP($A136,'Annex 2 EHV charges'!$A:$O,11,FALSE)=0,"",VLOOKUP($A136,'Annex 2 EHV charges'!$A:$O,11,FALSE)),"")</f>
        <v/>
      </c>
    </row>
    <row r="137" spans="1:8" ht="12.75" customHeight="1" x14ac:dyDescent="0.2">
      <c r="A137" s="91" t="str">
        <f t="array" ref="A137">IFERROR(INDEX('Annex 2 EHV charges'!$A$10:$A$259, MATCH(0, IF(ISBLANK('Annex 2 EHV charges'!$A$10:$A$259),1, COUNTIF(A$4:$A136, 'Annex 2 EHV charges'!$A$10:$A$259)), 0)),"")</f>
        <v/>
      </c>
      <c r="B137" s="91" t="str">
        <f>IF($A137="","",VLOOKUP($A137,'Annex 2 EHV charges'!$A:$O,2,0))</f>
        <v/>
      </c>
      <c r="C137" s="92" t="str">
        <f>IF($A137="","",VLOOKUP($A137,'Annex 2 EHV charges'!$A:$O,3,0))</f>
        <v/>
      </c>
      <c r="D137" s="91" t="str">
        <f>IF($A137="","",VLOOKUP($A137,'Annex 2 EHV charges'!$A:$O,7,0))</f>
        <v/>
      </c>
      <c r="E137" s="96" t="str">
        <f>IFERROR(IF(VLOOKUP($A137,'Annex 2 EHV charges'!$A:$O,8,FALSE)=0,"",VLOOKUP($A137,'Annex 2 EHV charges'!$A:$O,8,FALSE)),"")</f>
        <v/>
      </c>
      <c r="F137" s="97" t="str">
        <f>IFERROR(IF(VLOOKUP($A137,'Annex 2 EHV charges'!$A:$O,9,FALSE)=0,"",VLOOKUP($A137,'Annex 2 EHV charges'!$A:$O,9,FALSE)),"")</f>
        <v/>
      </c>
      <c r="G137" s="98" t="str">
        <f>IFERROR(IF(VLOOKUP($A137,'Annex 2 EHV charges'!$A:$O,10,FALSE)=0,"",VLOOKUP($A137,'Annex 2 EHV charges'!$A:$O,10,FALSE)),"")</f>
        <v/>
      </c>
      <c r="H137" s="98" t="str">
        <f>IFERROR(IF(VLOOKUP($A137,'Annex 2 EHV charges'!$A:$O,11,FALSE)=0,"",VLOOKUP($A137,'Annex 2 EHV charges'!$A:$O,11,FALSE)),"")</f>
        <v/>
      </c>
    </row>
    <row r="138" spans="1:8" ht="12.75" customHeight="1" x14ac:dyDescent="0.2">
      <c r="A138" s="91" t="str">
        <f t="array" ref="A138">IFERROR(INDEX('Annex 2 EHV charges'!$A$10:$A$259, MATCH(0, IF(ISBLANK('Annex 2 EHV charges'!$A$10:$A$259),1, COUNTIF(A$4:$A137, 'Annex 2 EHV charges'!$A$10:$A$259)), 0)),"")</f>
        <v/>
      </c>
      <c r="B138" s="91" t="str">
        <f>IF($A138="","",VLOOKUP($A138,'Annex 2 EHV charges'!$A:$O,2,0))</f>
        <v/>
      </c>
      <c r="C138" s="92" t="str">
        <f>IF($A138="","",VLOOKUP($A138,'Annex 2 EHV charges'!$A:$O,3,0))</f>
        <v/>
      </c>
      <c r="D138" s="91" t="str">
        <f>IF($A138="","",VLOOKUP($A138,'Annex 2 EHV charges'!$A:$O,7,0))</f>
        <v/>
      </c>
      <c r="E138" s="96" t="str">
        <f>IFERROR(IF(VLOOKUP($A138,'Annex 2 EHV charges'!$A:$O,8,FALSE)=0,"",VLOOKUP($A138,'Annex 2 EHV charges'!$A:$O,8,FALSE)),"")</f>
        <v/>
      </c>
      <c r="F138" s="97" t="str">
        <f>IFERROR(IF(VLOOKUP($A138,'Annex 2 EHV charges'!$A:$O,9,FALSE)=0,"",VLOOKUP($A138,'Annex 2 EHV charges'!$A:$O,9,FALSE)),"")</f>
        <v/>
      </c>
      <c r="G138" s="98" t="str">
        <f>IFERROR(IF(VLOOKUP($A138,'Annex 2 EHV charges'!$A:$O,10,FALSE)=0,"",VLOOKUP($A138,'Annex 2 EHV charges'!$A:$O,10,FALSE)),"")</f>
        <v/>
      </c>
      <c r="H138" s="98" t="str">
        <f>IFERROR(IF(VLOOKUP($A138,'Annex 2 EHV charges'!$A:$O,11,FALSE)=0,"",VLOOKUP($A138,'Annex 2 EHV charges'!$A:$O,11,FALSE)),"")</f>
        <v/>
      </c>
    </row>
    <row r="139" spans="1:8" ht="12.75" customHeight="1" x14ac:dyDescent="0.2">
      <c r="A139" s="91" t="str">
        <f t="array" ref="A139">IFERROR(INDEX('Annex 2 EHV charges'!$A$10:$A$259, MATCH(0, IF(ISBLANK('Annex 2 EHV charges'!$A$10:$A$259),1, COUNTIF(A$4:$A138, 'Annex 2 EHV charges'!$A$10:$A$259)), 0)),"")</f>
        <v/>
      </c>
      <c r="B139" s="91" t="str">
        <f>IF($A139="","",VLOOKUP($A139,'Annex 2 EHV charges'!$A:$O,2,0))</f>
        <v/>
      </c>
      <c r="C139" s="92" t="str">
        <f>IF($A139="","",VLOOKUP($A139,'Annex 2 EHV charges'!$A:$O,3,0))</f>
        <v/>
      </c>
      <c r="D139" s="91" t="str">
        <f>IF($A139="","",VLOOKUP($A139,'Annex 2 EHV charges'!$A:$O,7,0))</f>
        <v/>
      </c>
      <c r="E139" s="96" t="str">
        <f>IFERROR(IF(VLOOKUP($A139,'Annex 2 EHV charges'!$A:$O,8,FALSE)=0,"",VLOOKUP($A139,'Annex 2 EHV charges'!$A:$O,8,FALSE)),"")</f>
        <v/>
      </c>
      <c r="F139" s="97" t="str">
        <f>IFERROR(IF(VLOOKUP($A139,'Annex 2 EHV charges'!$A:$O,9,FALSE)=0,"",VLOOKUP($A139,'Annex 2 EHV charges'!$A:$O,9,FALSE)),"")</f>
        <v/>
      </c>
      <c r="G139" s="98" t="str">
        <f>IFERROR(IF(VLOOKUP($A139,'Annex 2 EHV charges'!$A:$O,10,FALSE)=0,"",VLOOKUP($A139,'Annex 2 EHV charges'!$A:$O,10,FALSE)),"")</f>
        <v/>
      </c>
      <c r="H139" s="98" t="str">
        <f>IFERROR(IF(VLOOKUP($A139,'Annex 2 EHV charges'!$A:$O,11,FALSE)=0,"",VLOOKUP($A139,'Annex 2 EHV charges'!$A:$O,11,FALSE)),"")</f>
        <v/>
      </c>
    </row>
    <row r="140" spans="1:8" ht="12.75" customHeight="1" x14ac:dyDescent="0.2">
      <c r="A140" s="91" t="str">
        <f t="array" ref="A140">IFERROR(INDEX('Annex 2 EHV charges'!$A$10:$A$259, MATCH(0, IF(ISBLANK('Annex 2 EHV charges'!$A$10:$A$259),1, COUNTIF(A$4:$A139, 'Annex 2 EHV charges'!$A$10:$A$259)), 0)),"")</f>
        <v/>
      </c>
      <c r="B140" s="91" t="str">
        <f>IF($A140="","",VLOOKUP($A140,'Annex 2 EHV charges'!$A:$O,2,0))</f>
        <v/>
      </c>
      <c r="C140" s="92" t="str">
        <f>IF($A140="","",VLOOKUP($A140,'Annex 2 EHV charges'!$A:$O,3,0))</f>
        <v/>
      </c>
      <c r="D140" s="91" t="str">
        <f>IF($A140="","",VLOOKUP($A140,'Annex 2 EHV charges'!$A:$O,7,0))</f>
        <v/>
      </c>
      <c r="E140" s="96" t="str">
        <f>IFERROR(IF(VLOOKUP($A140,'Annex 2 EHV charges'!$A:$O,8,FALSE)=0,"",VLOOKUP($A140,'Annex 2 EHV charges'!$A:$O,8,FALSE)),"")</f>
        <v/>
      </c>
      <c r="F140" s="97" t="str">
        <f>IFERROR(IF(VLOOKUP($A140,'Annex 2 EHV charges'!$A:$O,9,FALSE)=0,"",VLOOKUP($A140,'Annex 2 EHV charges'!$A:$O,9,FALSE)),"")</f>
        <v/>
      </c>
      <c r="G140" s="98" t="str">
        <f>IFERROR(IF(VLOOKUP($A140,'Annex 2 EHV charges'!$A:$O,10,FALSE)=0,"",VLOOKUP($A140,'Annex 2 EHV charges'!$A:$O,10,FALSE)),"")</f>
        <v/>
      </c>
      <c r="H140" s="98" t="str">
        <f>IFERROR(IF(VLOOKUP($A140,'Annex 2 EHV charges'!$A:$O,11,FALSE)=0,"",VLOOKUP($A140,'Annex 2 EHV charges'!$A:$O,11,FALSE)),"")</f>
        <v/>
      </c>
    </row>
    <row r="141" spans="1:8" ht="12.75" customHeight="1" x14ac:dyDescent="0.2">
      <c r="A141" s="91" t="str">
        <f t="array" ref="A141">IFERROR(INDEX('Annex 2 EHV charges'!$A$10:$A$259, MATCH(0, IF(ISBLANK('Annex 2 EHV charges'!$A$10:$A$259),1, COUNTIF(A$4:$A140, 'Annex 2 EHV charges'!$A$10:$A$259)), 0)),"")</f>
        <v/>
      </c>
      <c r="B141" s="91" t="str">
        <f>IF($A141="","",VLOOKUP($A141,'Annex 2 EHV charges'!$A:$O,2,0))</f>
        <v/>
      </c>
      <c r="C141" s="92" t="str">
        <f>IF($A141="","",VLOOKUP($A141,'Annex 2 EHV charges'!$A:$O,3,0))</f>
        <v/>
      </c>
      <c r="D141" s="91" t="str">
        <f>IF($A141="","",VLOOKUP($A141,'Annex 2 EHV charges'!$A:$O,7,0))</f>
        <v/>
      </c>
      <c r="E141" s="96" t="str">
        <f>IFERROR(IF(VLOOKUP($A141,'Annex 2 EHV charges'!$A:$O,8,FALSE)=0,"",VLOOKUP($A141,'Annex 2 EHV charges'!$A:$O,8,FALSE)),"")</f>
        <v/>
      </c>
      <c r="F141" s="97" t="str">
        <f>IFERROR(IF(VLOOKUP($A141,'Annex 2 EHV charges'!$A:$O,9,FALSE)=0,"",VLOOKUP($A141,'Annex 2 EHV charges'!$A:$O,9,FALSE)),"")</f>
        <v/>
      </c>
      <c r="G141" s="98" t="str">
        <f>IFERROR(IF(VLOOKUP($A141,'Annex 2 EHV charges'!$A:$O,10,FALSE)=0,"",VLOOKUP($A141,'Annex 2 EHV charges'!$A:$O,10,FALSE)),"")</f>
        <v/>
      </c>
      <c r="H141" s="98" t="str">
        <f>IFERROR(IF(VLOOKUP($A141,'Annex 2 EHV charges'!$A:$O,11,FALSE)=0,"",VLOOKUP($A141,'Annex 2 EHV charges'!$A:$O,11,FALSE)),"")</f>
        <v/>
      </c>
    </row>
    <row r="142" spans="1:8" ht="12.75" customHeight="1" x14ac:dyDescent="0.2">
      <c r="A142" s="91" t="str">
        <f t="array" ref="A142">IFERROR(INDEX('Annex 2 EHV charges'!$A$10:$A$259, MATCH(0, IF(ISBLANK('Annex 2 EHV charges'!$A$10:$A$259),1, COUNTIF(A$4:$A141, 'Annex 2 EHV charges'!$A$10:$A$259)), 0)),"")</f>
        <v/>
      </c>
      <c r="B142" s="91" t="str">
        <f>IF($A142="","",VLOOKUP($A142,'Annex 2 EHV charges'!$A:$O,2,0))</f>
        <v/>
      </c>
      <c r="C142" s="92" t="str">
        <f>IF($A142="","",VLOOKUP($A142,'Annex 2 EHV charges'!$A:$O,3,0))</f>
        <v/>
      </c>
      <c r="D142" s="91" t="str">
        <f>IF($A142="","",VLOOKUP($A142,'Annex 2 EHV charges'!$A:$O,7,0))</f>
        <v/>
      </c>
      <c r="E142" s="96" t="str">
        <f>IFERROR(IF(VLOOKUP($A142,'Annex 2 EHV charges'!$A:$O,8,FALSE)=0,"",VLOOKUP($A142,'Annex 2 EHV charges'!$A:$O,8,FALSE)),"")</f>
        <v/>
      </c>
      <c r="F142" s="97" t="str">
        <f>IFERROR(IF(VLOOKUP($A142,'Annex 2 EHV charges'!$A:$O,9,FALSE)=0,"",VLOOKUP($A142,'Annex 2 EHV charges'!$A:$O,9,FALSE)),"")</f>
        <v/>
      </c>
      <c r="G142" s="98" t="str">
        <f>IFERROR(IF(VLOOKUP($A142,'Annex 2 EHV charges'!$A:$O,10,FALSE)=0,"",VLOOKUP($A142,'Annex 2 EHV charges'!$A:$O,10,FALSE)),"")</f>
        <v/>
      </c>
      <c r="H142" s="98" t="str">
        <f>IFERROR(IF(VLOOKUP($A142,'Annex 2 EHV charges'!$A:$O,11,FALSE)=0,"",VLOOKUP($A142,'Annex 2 EHV charges'!$A:$O,11,FALSE)),"")</f>
        <v/>
      </c>
    </row>
    <row r="143" spans="1:8" ht="12.75" customHeight="1" x14ac:dyDescent="0.2">
      <c r="A143" s="91" t="str">
        <f t="array" ref="A143">IFERROR(INDEX('Annex 2 EHV charges'!$A$10:$A$259, MATCH(0, IF(ISBLANK('Annex 2 EHV charges'!$A$10:$A$259),1, COUNTIF(A$4:$A142, 'Annex 2 EHV charges'!$A$10:$A$259)), 0)),"")</f>
        <v/>
      </c>
      <c r="B143" s="91" t="str">
        <f>IF($A143="","",VLOOKUP($A143,'Annex 2 EHV charges'!$A:$O,2,0))</f>
        <v/>
      </c>
      <c r="C143" s="92" t="str">
        <f>IF($A143="","",VLOOKUP($A143,'Annex 2 EHV charges'!$A:$O,3,0))</f>
        <v/>
      </c>
      <c r="D143" s="91" t="str">
        <f>IF($A143="","",VLOOKUP($A143,'Annex 2 EHV charges'!$A:$O,7,0))</f>
        <v/>
      </c>
      <c r="E143" s="96" t="str">
        <f>IFERROR(IF(VLOOKUP($A143,'Annex 2 EHV charges'!$A:$O,8,FALSE)=0,"",VLOOKUP($A143,'Annex 2 EHV charges'!$A:$O,8,FALSE)),"")</f>
        <v/>
      </c>
      <c r="F143" s="97" t="str">
        <f>IFERROR(IF(VLOOKUP($A143,'Annex 2 EHV charges'!$A:$O,9,FALSE)=0,"",VLOOKUP($A143,'Annex 2 EHV charges'!$A:$O,9,FALSE)),"")</f>
        <v/>
      </c>
      <c r="G143" s="98" t="str">
        <f>IFERROR(IF(VLOOKUP($A143,'Annex 2 EHV charges'!$A:$O,10,FALSE)=0,"",VLOOKUP($A143,'Annex 2 EHV charges'!$A:$O,10,FALSE)),"")</f>
        <v/>
      </c>
      <c r="H143" s="98" t="str">
        <f>IFERROR(IF(VLOOKUP($A143,'Annex 2 EHV charges'!$A:$O,11,FALSE)=0,"",VLOOKUP($A143,'Annex 2 EHV charges'!$A:$O,11,FALSE)),"")</f>
        <v/>
      </c>
    </row>
    <row r="144" spans="1:8" x14ac:dyDescent="0.2">
      <c r="A144" s="91" t="str">
        <f t="array" ref="A144">IFERROR(INDEX('Annex 2 EHV charges'!$A$10:$A$259, MATCH(0, IF(ISBLANK('Annex 2 EHV charges'!$A$10:$A$259),1, COUNTIF(A$4:$A143, 'Annex 2 EHV charges'!$A$10:$A$259)), 0)),"")</f>
        <v/>
      </c>
      <c r="B144" s="91" t="str">
        <f>IF($A144="","",VLOOKUP($A144,'Annex 2 EHV charges'!$A:$O,2,0))</f>
        <v/>
      </c>
      <c r="C144" s="92" t="str">
        <f>IF($A144="","",VLOOKUP($A144,'Annex 2 EHV charges'!$A:$O,3,0))</f>
        <v/>
      </c>
      <c r="D144" s="91" t="str">
        <f>IF($A144="","",VLOOKUP($A144,'Annex 2 EHV charges'!$A:$O,7,0))</f>
        <v/>
      </c>
      <c r="E144" s="96" t="str">
        <f>IFERROR(IF(VLOOKUP($A144,'Annex 2 EHV charges'!$A:$O,8,FALSE)=0,"",VLOOKUP($A144,'Annex 2 EHV charges'!$A:$O,8,FALSE)),"")</f>
        <v/>
      </c>
      <c r="F144" s="97" t="str">
        <f>IFERROR(IF(VLOOKUP($A144,'Annex 2 EHV charges'!$A:$O,9,FALSE)=0,"",VLOOKUP($A144,'Annex 2 EHV charges'!$A:$O,9,FALSE)),"")</f>
        <v/>
      </c>
      <c r="G144" s="98" t="str">
        <f>IFERROR(IF(VLOOKUP($A144,'Annex 2 EHV charges'!$A:$O,10,FALSE)=0,"",VLOOKUP($A144,'Annex 2 EHV charges'!$A:$O,10,FALSE)),"")</f>
        <v/>
      </c>
      <c r="H144" s="98" t="str">
        <f>IFERROR(IF(VLOOKUP($A144,'Annex 2 EHV charges'!$A:$O,11,FALSE)=0,"",VLOOKUP($A144,'Annex 2 EHV charges'!$A:$O,11,FALSE)),"")</f>
        <v/>
      </c>
    </row>
    <row r="145" spans="1:8" x14ac:dyDescent="0.2">
      <c r="A145" s="91" t="str">
        <f t="array" ref="A145">IFERROR(INDEX('Annex 2 EHV charges'!$A$10:$A$259, MATCH(0, IF(ISBLANK('Annex 2 EHV charges'!$A$10:$A$259),1, COUNTIF(A$4:$A144, 'Annex 2 EHV charges'!$A$10:$A$259)), 0)),"")</f>
        <v/>
      </c>
      <c r="B145" s="91" t="str">
        <f>IF($A145="","",VLOOKUP($A145,'Annex 2 EHV charges'!$A:$O,2,0))</f>
        <v/>
      </c>
      <c r="C145" s="92" t="str">
        <f>IF($A145="","",VLOOKUP($A145,'Annex 2 EHV charges'!$A:$O,3,0))</f>
        <v/>
      </c>
      <c r="D145" s="91" t="str">
        <f>IF($A145="","",VLOOKUP($A145,'Annex 2 EHV charges'!$A:$O,7,0))</f>
        <v/>
      </c>
      <c r="E145" s="96" t="str">
        <f>IFERROR(IF(VLOOKUP($A145,'Annex 2 EHV charges'!$A:$O,8,FALSE)=0,"",VLOOKUP($A145,'Annex 2 EHV charges'!$A:$O,8,FALSE)),"")</f>
        <v/>
      </c>
      <c r="F145" s="97" t="str">
        <f>IFERROR(IF(VLOOKUP($A145,'Annex 2 EHV charges'!$A:$O,9,FALSE)=0,"",VLOOKUP($A145,'Annex 2 EHV charges'!$A:$O,9,FALSE)),"")</f>
        <v/>
      </c>
      <c r="G145" s="98" t="str">
        <f>IFERROR(IF(VLOOKUP($A145,'Annex 2 EHV charges'!$A:$O,10,FALSE)=0,"",VLOOKUP($A145,'Annex 2 EHV charges'!$A:$O,10,FALSE)),"")</f>
        <v/>
      </c>
      <c r="H145" s="98" t="str">
        <f>IFERROR(IF(VLOOKUP($A145,'Annex 2 EHV charges'!$A:$O,11,FALSE)=0,"",VLOOKUP($A145,'Annex 2 EHV charges'!$A:$O,11,FALSE)),"")</f>
        <v/>
      </c>
    </row>
    <row r="146" spans="1:8" x14ac:dyDescent="0.2">
      <c r="A146" s="91" t="str">
        <f t="array" ref="A146">IFERROR(INDEX('Annex 2 EHV charges'!$A$10:$A$259, MATCH(0, IF(ISBLANK('Annex 2 EHV charges'!$A$10:$A$259),1, COUNTIF(A$4:$A145, 'Annex 2 EHV charges'!$A$10:$A$259)), 0)),"")</f>
        <v/>
      </c>
      <c r="B146" s="91" t="str">
        <f>IF($A146="","",VLOOKUP($A146,'Annex 2 EHV charges'!$A:$O,2,0))</f>
        <v/>
      </c>
      <c r="C146" s="92" t="str">
        <f>IF($A146="","",VLOOKUP($A146,'Annex 2 EHV charges'!$A:$O,3,0))</f>
        <v/>
      </c>
      <c r="D146" s="91" t="str">
        <f>IF($A146="","",VLOOKUP($A146,'Annex 2 EHV charges'!$A:$O,7,0))</f>
        <v/>
      </c>
      <c r="E146" s="96" t="str">
        <f>IFERROR(IF(VLOOKUP($A146,'Annex 2 EHV charges'!$A:$O,8,FALSE)=0,"",VLOOKUP($A146,'Annex 2 EHV charges'!$A:$O,8,FALSE)),"")</f>
        <v/>
      </c>
      <c r="F146" s="97" t="str">
        <f>IFERROR(IF(VLOOKUP($A146,'Annex 2 EHV charges'!$A:$O,9,FALSE)=0,"",VLOOKUP($A146,'Annex 2 EHV charges'!$A:$O,9,FALSE)),"")</f>
        <v/>
      </c>
      <c r="G146" s="98" t="str">
        <f>IFERROR(IF(VLOOKUP($A146,'Annex 2 EHV charges'!$A:$O,10,FALSE)=0,"",VLOOKUP($A146,'Annex 2 EHV charges'!$A:$O,10,FALSE)),"")</f>
        <v/>
      </c>
      <c r="H146" s="98" t="str">
        <f>IFERROR(IF(VLOOKUP($A146,'Annex 2 EHV charges'!$A:$O,11,FALSE)=0,"",VLOOKUP($A146,'Annex 2 EHV charges'!$A:$O,11,FALSE)),"")</f>
        <v/>
      </c>
    </row>
    <row r="147" spans="1:8" x14ac:dyDescent="0.2">
      <c r="A147" s="91" t="str">
        <f t="array" ref="A147">IFERROR(INDEX('Annex 2 EHV charges'!$A$10:$A$259, MATCH(0, IF(ISBLANK('Annex 2 EHV charges'!$A$10:$A$259),1, COUNTIF(A$4:$A146, 'Annex 2 EHV charges'!$A$10:$A$259)), 0)),"")</f>
        <v/>
      </c>
      <c r="B147" s="91" t="str">
        <f>IF($A147="","",VLOOKUP($A147,'Annex 2 EHV charges'!$A:$O,2,0))</f>
        <v/>
      </c>
      <c r="C147" s="92" t="str">
        <f>IF($A147="","",VLOOKUP($A147,'Annex 2 EHV charges'!$A:$O,3,0))</f>
        <v/>
      </c>
      <c r="D147" s="91" t="str">
        <f>IF($A147="","",VLOOKUP($A147,'Annex 2 EHV charges'!$A:$O,7,0))</f>
        <v/>
      </c>
      <c r="E147" s="96" t="str">
        <f>IFERROR(IF(VLOOKUP($A147,'Annex 2 EHV charges'!$A:$O,8,FALSE)=0,"",VLOOKUP($A147,'Annex 2 EHV charges'!$A:$O,8,FALSE)),"")</f>
        <v/>
      </c>
      <c r="F147" s="97" t="str">
        <f>IFERROR(IF(VLOOKUP($A147,'Annex 2 EHV charges'!$A:$O,9,FALSE)=0,"",VLOOKUP($A147,'Annex 2 EHV charges'!$A:$O,9,FALSE)),"")</f>
        <v/>
      </c>
      <c r="G147" s="98" t="str">
        <f>IFERROR(IF(VLOOKUP($A147,'Annex 2 EHV charges'!$A:$O,10,FALSE)=0,"",VLOOKUP($A147,'Annex 2 EHV charges'!$A:$O,10,FALSE)),"")</f>
        <v/>
      </c>
      <c r="H147" s="98" t="str">
        <f>IFERROR(IF(VLOOKUP($A147,'Annex 2 EHV charges'!$A:$O,11,FALSE)=0,"",VLOOKUP($A147,'Annex 2 EHV charges'!$A:$O,11,FALSE)),"")</f>
        <v/>
      </c>
    </row>
    <row r="148" spans="1:8" x14ac:dyDescent="0.2">
      <c r="A148" s="91" t="str">
        <f t="array" ref="A148">IFERROR(INDEX('Annex 2 EHV charges'!$A$10:$A$259, MATCH(0, IF(ISBLANK('Annex 2 EHV charges'!$A$10:$A$259),1, COUNTIF(A$4:$A147, 'Annex 2 EHV charges'!$A$10:$A$259)), 0)),"")</f>
        <v/>
      </c>
      <c r="B148" s="91" t="str">
        <f>IF($A148="","",VLOOKUP($A148,'Annex 2 EHV charges'!$A:$O,2,0))</f>
        <v/>
      </c>
      <c r="C148" s="92" t="str">
        <f>IF($A148="","",VLOOKUP($A148,'Annex 2 EHV charges'!$A:$O,3,0))</f>
        <v/>
      </c>
      <c r="D148" s="91" t="str">
        <f>IF($A148="","",VLOOKUP($A148,'Annex 2 EHV charges'!$A:$O,7,0))</f>
        <v/>
      </c>
      <c r="E148" s="96" t="str">
        <f>IFERROR(IF(VLOOKUP($A148,'Annex 2 EHV charges'!$A:$O,8,FALSE)=0,"",VLOOKUP($A148,'Annex 2 EHV charges'!$A:$O,8,FALSE)),"")</f>
        <v/>
      </c>
      <c r="F148" s="97" t="str">
        <f>IFERROR(IF(VLOOKUP($A148,'Annex 2 EHV charges'!$A:$O,9,FALSE)=0,"",VLOOKUP($A148,'Annex 2 EHV charges'!$A:$O,9,FALSE)),"")</f>
        <v/>
      </c>
      <c r="G148" s="98" t="str">
        <f>IFERROR(IF(VLOOKUP($A148,'Annex 2 EHV charges'!$A:$O,10,FALSE)=0,"",VLOOKUP($A148,'Annex 2 EHV charges'!$A:$O,10,FALSE)),"")</f>
        <v/>
      </c>
      <c r="H148" s="98" t="str">
        <f>IFERROR(IF(VLOOKUP($A148,'Annex 2 EHV charges'!$A:$O,11,FALSE)=0,"",VLOOKUP($A148,'Annex 2 EHV charges'!$A:$O,11,FALSE)),"")</f>
        <v/>
      </c>
    </row>
    <row r="149" spans="1:8" x14ac:dyDescent="0.2">
      <c r="A149" s="91" t="str">
        <f t="array" ref="A149">IFERROR(INDEX('Annex 2 EHV charges'!$A$10:$A$259, MATCH(0, IF(ISBLANK('Annex 2 EHV charges'!$A$10:$A$259),1, COUNTIF(A$4:$A148, 'Annex 2 EHV charges'!$A$10:$A$259)), 0)),"")</f>
        <v/>
      </c>
      <c r="B149" s="91" t="str">
        <f>IF($A149="","",VLOOKUP($A149,'Annex 2 EHV charges'!$A:$O,2,0))</f>
        <v/>
      </c>
      <c r="C149" s="92" t="str">
        <f>IF($A149="","",VLOOKUP($A149,'Annex 2 EHV charges'!$A:$O,3,0))</f>
        <v/>
      </c>
      <c r="D149" s="91" t="str">
        <f>IF($A149="","",VLOOKUP($A149,'Annex 2 EHV charges'!$A:$O,7,0))</f>
        <v/>
      </c>
      <c r="E149" s="96" t="str">
        <f>IFERROR(IF(VLOOKUP($A149,'Annex 2 EHV charges'!$A:$O,8,FALSE)=0,"",VLOOKUP($A149,'Annex 2 EHV charges'!$A:$O,8,FALSE)),"")</f>
        <v/>
      </c>
      <c r="F149" s="97" t="str">
        <f>IFERROR(IF(VLOOKUP($A149,'Annex 2 EHV charges'!$A:$O,9,FALSE)=0,"",VLOOKUP($A149,'Annex 2 EHV charges'!$A:$O,9,FALSE)),"")</f>
        <v/>
      </c>
      <c r="G149" s="98" t="str">
        <f>IFERROR(IF(VLOOKUP($A149,'Annex 2 EHV charges'!$A:$O,10,FALSE)=0,"",VLOOKUP($A149,'Annex 2 EHV charges'!$A:$O,10,FALSE)),"")</f>
        <v/>
      </c>
      <c r="H149" s="98" t="str">
        <f>IFERROR(IF(VLOOKUP($A149,'Annex 2 EHV charges'!$A:$O,11,FALSE)=0,"",VLOOKUP($A149,'Annex 2 EHV charges'!$A:$O,11,FALSE)),"")</f>
        <v/>
      </c>
    </row>
    <row r="150" spans="1:8" x14ac:dyDescent="0.2">
      <c r="A150" s="91" t="str">
        <f t="array" ref="A150">IFERROR(INDEX('Annex 2 EHV charges'!$A$10:$A$259, MATCH(0, IF(ISBLANK('Annex 2 EHV charges'!$A$10:$A$259),1, COUNTIF(A$4:$A149, 'Annex 2 EHV charges'!$A$10:$A$259)), 0)),"")</f>
        <v/>
      </c>
      <c r="B150" s="91" t="str">
        <f>IF($A150="","",VLOOKUP($A150,'Annex 2 EHV charges'!$A:$O,2,0))</f>
        <v/>
      </c>
      <c r="C150" s="92" t="str">
        <f>IF($A150="","",VLOOKUP($A150,'Annex 2 EHV charges'!$A:$O,3,0))</f>
        <v/>
      </c>
      <c r="D150" s="91" t="str">
        <f>IF($A150="","",VLOOKUP($A150,'Annex 2 EHV charges'!$A:$O,7,0))</f>
        <v/>
      </c>
      <c r="E150" s="96" t="str">
        <f>IFERROR(IF(VLOOKUP($A150,'Annex 2 EHV charges'!$A:$O,8,FALSE)=0,"",VLOOKUP($A150,'Annex 2 EHV charges'!$A:$O,8,FALSE)),"")</f>
        <v/>
      </c>
      <c r="F150" s="97" t="str">
        <f>IFERROR(IF(VLOOKUP($A150,'Annex 2 EHV charges'!$A:$O,9,FALSE)=0,"",VLOOKUP($A150,'Annex 2 EHV charges'!$A:$O,9,FALSE)),"")</f>
        <v/>
      </c>
      <c r="G150" s="98" t="str">
        <f>IFERROR(IF(VLOOKUP($A150,'Annex 2 EHV charges'!$A:$O,10,FALSE)=0,"",VLOOKUP($A150,'Annex 2 EHV charges'!$A:$O,10,FALSE)),"")</f>
        <v/>
      </c>
      <c r="H150" s="98" t="str">
        <f>IFERROR(IF(VLOOKUP($A150,'Annex 2 EHV charges'!$A:$O,11,FALSE)=0,"",VLOOKUP($A150,'Annex 2 EHV charges'!$A:$O,11,FALSE)),"")</f>
        <v/>
      </c>
    </row>
    <row r="151" spans="1:8" x14ac:dyDescent="0.2">
      <c r="A151" s="91" t="str">
        <f t="array" ref="A151">IFERROR(INDEX('Annex 2 EHV charges'!$A$10:$A$259, MATCH(0, IF(ISBLANK('Annex 2 EHV charges'!$A$10:$A$259),1, COUNTIF(A$4:$A150, 'Annex 2 EHV charges'!$A$10:$A$259)), 0)),"")</f>
        <v/>
      </c>
      <c r="B151" s="91" t="str">
        <f>IF($A151="","",VLOOKUP($A151,'Annex 2 EHV charges'!$A:$O,2,0))</f>
        <v/>
      </c>
      <c r="C151" s="92" t="str">
        <f>IF($A151="","",VLOOKUP($A151,'Annex 2 EHV charges'!$A:$O,3,0))</f>
        <v/>
      </c>
      <c r="D151" s="91" t="str">
        <f>IF($A151="","",VLOOKUP($A151,'Annex 2 EHV charges'!$A:$O,7,0))</f>
        <v/>
      </c>
      <c r="E151" s="96" t="str">
        <f>IFERROR(IF(VLOOKUP($A151,'Annex 2 EHV charges'!$A:$O,8,FALSE)=0,"",VLOOKUP($A151,'Annex 2 EHV charges'!$A:$O,8,FALSE)),"")</f>
        <v/>
      </c>
      <c r="F151" s="97" t="str">
        <f>IFERROR(IF(VLOOKUP($A151,'Annex 2 EHV charges'!$A:$O,9,FALSE)=0,"",VLOOKUP($A151,'Annex 2 EHV charges'!$A:$O,9,FALSE)),"")</f>
        <v/>
      </c>
      <c r="G151" s="98" t="str">
        <f>IFERROR(IF(VLOOKUP($A151,'Annex 2 EHV charges'!$A:$O,10,FALSE)=0,"",VLOOKUP($A151,'Annex 2 EHV charges'!$A:$O,10,FALSE)),"")</f>
        <v/>
      </c>
      <c r="H151" s="98" t="str">
        <f>IFERROR(IF(VLOOKUP($A151,'Annex 2 EHV charges'!$A:$O,11,FALSE)=0,"",VLOOKUP($A151,'Annex 2 EHV charges'!$A:$O,11,FALSE)),"")</f>
        <v/>
      </c>
    </row>
    <row r="152" spans="1:8" x14ac:dyDescent="0.2">
      <c r="A152" s="91" t="str">
        <f t="array" ref="A152">IFERROR(INDEX('Annex 2 EHV charges'!$A$10:$A$259, MATCH(0, IF(ISBLANK('Annex 2 EHV charges'!$A$10:$A$259),1, COUNTIF(A$4:$A151, 'Annex 2 EHV charges'!$A$10:$A$259)), 0)),"")</f>
        <v/>
      </c>
      <c r="B152" s="91" t="str">
        <f>IF($A152="","",VLOOKUP($A152,'Annex 2 EHV charges'!$A:$O,2,0))</f>
        <v/>
      </c>
      <c r="C152" s="92" t="str">
        <f>IF($A152="","",VLOOKUP($A152,'Annex 2 EHV charges'!$A:$O,3,0))</f>
        <v/>
      </c>
      <c r="D152" s="91" t="str">
        <f>IF($A152="","",VLOOKUP($A152,'Annex 2 EHV charges'!$A:$O,7,0))</f>
        <v/>
      </c>
      <c r="E152" s="96" t="str">
        <f>IFERROR(IF(VLOOKUP($A152,'Annex 2 EHV charges'!$A:$O,8,FALSE)=0,"",VLOOKUP($A152,'Annex 2 EHV charges'!$A:$O,8,FALSE)),"")</f>
        <v/>
      </c>
      <c r="F152" s="97" t="str">
        <f>IFERROR(IF(VLOOKUP($A152,'Annex 2 EHV charges'!$A:$O,9,FALSE)=0,"",VLOOKUP($A152,'Annex 2 EHV charges'!$A:$O,9,FALSE)),"")</f>
        <v/>
      </c>
      <c r="G152" s="98" t="str">
        <f>IFERROR(IF(VLOOKUP($A152,'Annex 2 EHV charges'!$A:$O,10,FALSE)=0,"",VLOOKUP($A152,'Annex 2 EHV charges'!$A:$O,10,FALSE)),"")</f>
        <v/>
      </c>
      <c r="H152" s="98" t="str">
        <f>IFERROR(IF(VLOOKUP($A152,'Annex 2 EHV charges'!$A:$O,11,FALSE)=0,"",VLOOKUP($A152,'Annex 2 EHV charges'!$A:$O,11,FALSE)),"")</f>
        <v/>
      </c>
    </row>
    <row r="153" spans="1:8" x14ac:dyDescent="0.2">
      <c r="A153" s="91" t="str">
        <f t="array" ref="A153">IFERROR(INDEX('Annex 2 EHV charges'!$A$10:$A$259, MATCH(0, IF(ISBLANK('Annex 2 EHV charges'!$A$10:$A$259),1, COUNTIF(A$4:$A152, 'Annex 2 EHV charges'!$A$10:$A$259)), 0)),"")</f>
        <v/>
      </c>
      <c r="B153" s="91" t="str">
        <f>IF($A153="","",VLOOKUP($A153,'Annex 2 EHV charges'!$A:$O,2,0))</f>
        <v/>
      </c>
      <c r="C153" s="92" t="str">
        <f>IF($A153="","",VLOOKUP($A153,'Annex 2 EHV charges'!$A:$O,3,0))</f>
        <v/>
      </c>
      <c r="D153" s="91" t="str">
        <f>IF($A153="","",VLOOKUP($A153,'Annex 2 EHV charges'!$A:$O,7,0))</f>
        <v/>
      </c>
      <c r="E153" s="96" t="str">
        <f>IFERROR(IF(VLOOKUP($A153,'Annex 2 EHV charges'!$A:$O,8,FALSE)=0,"",VLOOKUP($A153,'Annex 2 EHV charges'!$A:$O,8,FALSE)),"")</f>
        <v/>
      </c>
      <c r="F153" s="97" t="str">
        <f>IFERROR(IF(VLOOKUP($A153,'Annex 2 EHV charges'!$A:$O,9,FALSE)=0,"",VLOOKUP($A153,'Annex 2 EHV charges'!$A:$O,9,FALSE)),"")</f>
        <v/>
      </c>
      <c r="G153" s="98" t="str">
        <f>IFERROR(IF(VLOOKUP($A153,'Annex 2 EHV charges'!$A:$O,10,FALSE)=0,"",VLOOKUP($A153,'Annex 2 EHV charges'!$A:$O,10,FALSE)),"")</f>
        <v/>
      </c>
      <c r="H153" s="98" t="str">
        <f>IFERROR(IF(VLOOKUP($A153,'Annex 2 EHV charges'!$A:$O,11,FALSE)=0,"",VLOOKUP($A153,'Annex 2 EHV charges'!$A:$O,11,FALSE)),"")</f>
        <v/>
      </c>
    </row>
    <row r="154" spans="1:8" x14ac:dyDescent="0.2">
      <c r="A154" s="91" t="str">
        <f t="array" ref="A154">IFERROR(INDEX('Annex 2 EHV charges'!$A$10:$A$259, MATCH(0, IF(ISBLANK('Annex 2 EHV charges'!$A$10:$A$259),1, COUNTIF(A$4:$A153, 'Annex 2 EHV charges'!$A$10:$A$259)), 0)),"")</f>
        <v/>
      </c>
      <c r="B154" s="91" t="str">
        <f>IF($A154="","",VLOOKUP($A154,'Annex 2 EHV charges'!$A:$O,2,0))</f>
        <v/>
      </c>
      <c r="C154" s="92" t="str">
        <f>IF($A154="","",VLOOKUP($A154,'Annex 2 EHV charges'!$A:$O,3,0))</f>
        <v/>
      </c>
      <c r="D154" s="91" t="str">
        <f>IF($A154="","",VLOOKUP($A154,'Annex 2 EHV charges'!$A:$O,7,0))</f>
        <v/>
      </c>
      <c r="E154" s="96" t="str">
        <f>IFERROR(IF(VLOOKUP($A154,'Annex 2 EHV charges'!$A:$O,8,FALSE)=0,"",VLOOKUP($A154,'Annex 2 EHV charges'!$A:$O,8,FALSE)),"")</f>
        <v/>
      </c>
      <c r="F154" s="97" t="str">
        <f>IFERROR(IF(VLOOKUP($A154,'Annex 2 EHV charges'!$A:$O,9,FALSE)=0,"",VLOOKUP($A154,'Annex 2 EHV charges'!$A:$O,9,FALSE)),"")</f>
        <v/>
      </c>
      <c r="G154" s="98" t="str">
        <f>IFERROR(IF(VLOOKUP($A154,'Annex 2 EHV charges'!$A:$O,10,FALSE)=0,"",VLOOKUP($A154,'Annex 2 EHV charges'!$A:$O,10,FALSE)),"")</f>
        <v/>
      </c>
      <c r="H154" s="98" t="str">
        <f>IFERROR(IF(VLOOKUP($A154,'Annex 2 EHV charges'!$A:$O,11,FALSE)=0,"",VLOOKUP($A154,'Annex 2 EHV charges'!$A:$O,11,FALSE)),"")</f>
        <v/>
      </c>
    </row>
    <row r="155" spans="1:8" x14ac:dyDescent="0.2">
      <c r="A155" s="91" t="str">
        <f t="array" ref="A155">IFERROR(INDEX('Annex 2 EHV charges'!$A$10:$A$259, MATCH(0, IF(ISBLANK('Annex 2 EHV charges'!$A$10:$A$259),1, COUNTIF(A$4:$A154, 'Annex 2 EHV charges'!$A$10:$A$259)), 0)),"")</f>
        <v/>
      </c>
      <c r="B155" s="91" t="str">
        <f>IF($A155="","",VLOOKUP($A155,'Annex 2 EHV charges'!$A:$O,2,0))</f>
        <v/>
      </c>
      <c r="C155" s="92" t="str">
        <f>IF($A155="","",VLOOKUP($A155,'Annex 2 EHV charges'!$A:$O,3,0))</f>
        <v/>
      </c>
      <c r="D155" s="91" t="str">
        <f>IF($A155="","",VLOOKUP($A155,'Annex 2 EHV charges'!$A:$O,7,0))</f>
        <v/>
      </c>
      <c r="E155" s="96" t="str">
        <f>IFERROR(IF(VLOOKUP($A155,'Annex 2 EHV charges'!$A:$O,8,FALSE)=0,"",VLOOKUP($A155,'Annex 2 EHV charges'!$A:$O,8,FALSE)),"")</f>
        <v/>
      </c>
      <c r="F155" s="97" t="str">
        <f>IFERROR(IF(VLOOKUP($A155,'Annex 2 EHV charges'!$A:$O,9,FALSE)=0,"",VLOOKUP($A155,'Annex 2 EHV charges'!$A:$O,9,FALSE)),"")</f>
        <v/>
      </c>
      <c r="G155" s="98" t="str">
        <f>IFERROR(IF(VLOOKUP($A155,'Annex 2 EHV charges'!$A:$O,10,FALSE)=0,"",VLOOKUP($A155,'Annex 2 EHV charges'!$A:$O,10,FALSE)),"")</f>
        <v/>
      </c>
      <c r="H155" s="98" t="str">
        <f>IFERROR(IF(VLOOKUP($A155,'Annex 2 EHV charges'!$A:$O,11,FALSE)=0,"",VLOOKUP($A155,'Annex 2 EHV charges'!$A:$O,11,FALSE)),"")</f>
        <v/>
      </c>
    </row>
    <row r="156" spans="1:8" x14ac:dyDescent="0.2">
      <c r="A156" s="91" t="str">
        <f t="array" ref="A156">IFERROR(INDEX('Annex 2 EHV charges'!$A$10:$A$259, MATCH(0, IF(ISBLANK('Annex 2 EHV charges'!$A$10:$A$259),1, COUNTIF(A$4:$A155, 'Annex 2 EHV charges'!$A$10:$A$259)), 0)),"")</f>
        <v/>
      </c>
      <c r="B156" s="91" t="str">
        <f>IF($A156="","",VLOOKUP($A156,'Annex 2 EHV charges'!$A:$O,2,0))</f>
        <v/>
      </c>
      <c r="C156" s="92" t="str">
        <f>IF($A156="","",VLOOKUP($A156,'Annex 2 EHV charges'!$A:$O,3,0))</f>
        <v/>
      </c>
      <c r="D156" s="91" t="str">
        <f>IF($A156="","",VLOOKUP($A156,'Annex 2 EHV charges'!$A:$O,7,0))</f>
        <v/>
      </c>
      <c r="E156" s="96" t="str">
        <f>IFERROR(IF(VLOOKUP($A156,'Annex 2 EHV charges'!$A:$O,8,FALSE)=0,"",VLOOKUP($A156,'Annex 2 EHV charges'!$A:$O,8,FALSE)),"")</f>
        <v/>
      </c>
      <c r="F156" s="97" t="str">
        <f>IFERROR(IF(VLOOKUP($A156,'Annex 2 EHV charges'!$A:$O,9,FALSE)=0,"",VLOOKUP($A156,'Annex 2 EHV charges'!$A:$O,9,FALSE)),"")</f>
        <v/>
      </c>
      <c r="G156" s="98" t="str">
        <f>IFERROR(IF(VLOOKUP($A156,'Annex 2 EHV charges'!$A:$O,10,FALSE)=0,"",VLOOKUP($A156,'Annex 2 EHV charges'!$A:$O,10,FALSE)),"")</f>
        <v/>
      </c>
      <c r="H156" s="98" t="str">
        <f>IFERROR(IF(VLOOKUP($A156,'Annex 2 EHV charges'!$A:$O,11,FALSE)=0,"",VLOOKUP($A156,'Annex 2 EHV charges'!$A:$O,11,FALSE)),"")</f>
        <v/>
      </c>
    </row>
    <row r="157" spans="1:8" x14ac:dyDescent="0.2">
      <c r="A157" s="91" t="str">
        <f t="array" ref="A157">IFERROR(INDEX('Annex 2 EHV charges'!$A$10:$A$259, MATCH(0, IF(ISBLANK('Annex 2 EHV charges'!$A$10:$A$259),1, COUNTIF(A$4:$A156, 'Annex 2 EHV charges'!$A$10:$A$259)), 0)),"")</f>
        <v/>
      </c>
      <c r="B157" s="91" t="str">
        <f>IF($A157="","",VLOOKUP($A157,'Annex 2 EHV charges'!$A:$O,2,0))</f>
        <v/>
      </c>
      <c r="C157" s="92" t="str">
        <f>IF($A157="","",VLOOKUP($A157,'Annex 2 EHV charges'!$A:$O,3,0))</f>
        <v/>
      </c>
      <c r="D157" s="91" t="str">
        <f>IF($A157="","",VLOOKUP($A157,'Annex 2 EHV charges'!$A:$O,7,0))</f>
        <v/>
      </c>
      <c r="E157" s="96" t="str">
        <f>IFERROR(IF(VLOOKUP($A157,'Annex 2 EHV charges'!$A:$O,8,FALSE)=0,"",VLOOKUP($A157,'Annex 2 EHV charges'!$A:$O,8,FALSE)),"")</f>
        <v/>
      </c>
      <c r="F157" s="97" t="str">
        <f>IFERROR(IF(VLOOKUP($A157,'Annex 2 EHV charges'!$A:$O,9,FALSE)=0,"",VLOOKUP($A157,'Annex 2 EHV charges'!$A:$O,9,FALSE)),"")</f>
        <v/>
      </c>
      <c r="G157" s="98" t="str">
        <f>IFERROR(IF(VLOOKUP($A157,'Annex 2 EHV charges'!$A:$O,10,FALSE)=0,"",VLOOKUP($A157,'Annex 2 EHV charges'!$A:$O,10,FALSE)),"")</f>
        <v/>
      </c>
      <c r="H157" s="98" t="str">
        <f>IFERROR(IF(VLOOKUP($A157,'Annex 2 EHV charges'!$A:$O,11,FALSE)=0,"",VLOOKUP($A157,'Annex 2 EHV charges'!$A:$O,11,FALSE)),"")</f>
        <v/>
      </c>
    </row>
    <row r="158" spans="1:8" x14ac:dyDescent="0.2">
      <c r="A158" s="91" t="str">
        <f t="array" ref="A158">IFERROR(INDEX('Annex 2 EHV charges'!$A$10:$A$259, MATCH(0, IF(ISBLANK('Annex 2 EHV charges'!$A$10:$A$259),1, COUNTIF(A$4:$A157, 'Annex 2 EHV charges'!$A$10:$A$259)), 0)),"")</f>
        <v/>
      </c>
      <c r="B158" s="91" t="str">
        <f>IF($A158="","",VLOOKUP($A158,'Annex 2 EHV charges'!$A:$O,2,0))</f>
        <v/>
      </c>
      <c r="C158" s="92" t="str">
        <f>IF($A158="","",VLOOKUP($A158,'Annex 2 EHV charges'!$A:$O,3,0))</f>
        <v/>
      </c>
      <c r="D158" s="91" t="str">
        <f>IF($A158="","",VLOOKUP($A158,'Annex 2 EHV charges'!$A:$O,7,0))</f>
        <v/>
      </c>
      <c r="E158" s="96" t="str">
        <f>IFERROR(IF(VLOOKUP($A158,'Annex 2 EHV charges'!$A:$O,8,FALSE)=0,"",VLOOKUP($A158,'Annex 2 EHV charges'!$A:$O,8,FALSE)),"")</f>
        <v/>
      </c>
      <c r="F158" s="97" t="str">
        <f>IFERROR(IF(VLOOKUP($A158,'Annex 2 EHV charges'!$A:$O,9,FALSE)=0,"",VLOOKUP($A158,'Annex 2 EHV charges'!$A:$O,9,FALSE)),"")</f>
        <v/>
      </c>
      <c r="G158" s="98" t="str">
        <f>IFERROR(IF(VLOOKUP($A158,'Annex 2 EHV charges'!$A:$O,10,FALSE)=0,"",VLOOKUP($A158,'Annex 2 EHV charges'!$A:$O,10,FALSE)),"")</f>
        <v/>
      </c>
      <c r="H158" s="98" t="str">
        <f>IFERROR(IF(VLOOKUP($A158,'Annex 2 EHV charges'!$A:$O,11,FALSE)=0,"",VLOOKUP($A158,'Annex 2 EHV charges'!$A:$O,11,FALSE)),"")</f>
        <v/>
      </c>
    </row>
    <row r="159" spans="1:8" x14ac:dyDescent="0.2">
      <c r="A159" s="91" t="str">
        <f t="array" ref="A159">IFERROR(INDEX('Annex 2 EHV charges'!$A$10:$A$259, MATCH(0, IF(ISBLANK('Annex 2 EHV charges'!$A$10:$A$259),1, COUNTIF(A$4:$A158, 'Annex 2 EHV charges'!$A$10:$A$259)), 0)),"")</f>
        <v/>
      </c>
      <c r="B159" s="91" t="str">
        <f>IF($A159="","",VLOOKUP($A159,'Annex 2 EHV charges'!$A:$O,2,0))</f>
        <v/>
      </c>
      <c r="C159" s="92" t="str">
        <f>IF($A159="","",VLOOKUP($A159,'Annex 2 EHV charges'!$A:$O,3,0))</f>
        <v/>
      </c>
      <c r="D159" s="91" t="str">
        <f>IF($A159="","",VLOOKUP($A159,'Annex 2 EHV charges'!$A:$O,7,0))</f>
        <v/>
      </c>
      <c r="E159" s="96" t="str">
        <f>IFERROR(IF(VLOOKUP($A159,'Annex 2 EHV charges'!$A:$O,8,FALSE)=0,"",VLOOKUP($A159,'Annex 2 EHV charges'!$A:$O,8,FALSE)),"")</f>
        <v/>
      </c>
      <c r="F159" s="97" t="str">
        <f>IFERROR(IF(VLOOKUP($A159,'Annex 2 EHV charges'!$A:$O,9,FALSE)=0,"",VLOOKUP($A159,'Annex 2 EHV charges'!$A:$O,9,FALSE)),"")</f>
        <v/>
      </c>
      <c r="G159" s="98" t="str">
        <f>IFERROR(IF(VLOOKUP($A159,'Annex 2 EHV charges'!$A:$O,10,FALSE)=0,"",VLOOKUP($A159,'Annex 2 EHV charges'!$A:$O,10,FALSE)),"")</f>
        <v/>
      </c>
      <c r="H159" s="98" t="str">
        <f>IFERROR(IF(VLOOKUP($A159,'Annex 2 EHV charges'!$A:$O,11,FALSE)=0,"",VLOOKUP($A159,'Annex 2 EHV charges'!$A:$O,11,FALSE)),"")</f>
        <v/>
      </c>
    </row>
    <row r="160" spans="1:8" x14ac:dyDescent="0.2">
      <c r="A160" s="91" t="str">
        <f t="array" ref="A160">IFERROR(INDEX('Annex 2 EHV charges'!$A$10:$A$259, MATCH(0, IF(ISBLANK('Annex 2 EHV charges'!$A$10:$A$259),1, COUNTIF(A$4:$A159, 'Annex 2 EHV charges'!$A$10:$A$259)), 0)),"")</f>
        <v/>
      </c>
      <c r="B160" s="91" t="str">
        <f>IF($A160="","",VLOOKUP($A160,'Annex 2 EHV charges'!$A:$O,2,0))</f>
        <v/>
      </c>
      <c r="C160" s="92" t="str">
        <f>IF($A160="","",VLOOKUP($A160,'Annex 2 EHV charges'!$A:$O,3,0))</f>
        <v/>
      </c>
      <c r="D160" s="91" t="str">
        <f>IF($A160="","",VLOOKUP($A160,'Annex 2 EHV charges'!$A:$O,7,0))</f>
        <v/>
      </c>
      <c r="E160" s="96" t="str">
        <f>IFERROR(IF(VLOOKUP($A160,'Annex 2 EHV charges'!$A:$O,8,FALSE)=0,"",VLOOKUP($A160,'Annex 2 EHV charges'!$A:$O,8,FALSE)),"")</f>
        <v/>
      </c>
      <c r="F160" s="97" t="str">
        <f>IFERROR(IF(VLOOKUP($A160,'Annex 2 EHV charges'!$A:$O,9,FALSE)=0,"",VLOOKUP($A160,'Annex 2 EHV charges'!$A:$O,9,FALSE)),"")</f>
        <v/>
      </c>
      <c r="G160" s="98" t="str">
        <f>IFERROR(IF(VLOOKUP($A160,'Annex 2 EHV charges'!$A:$O,10,FALSE)=0,"",VLOOKUP($A160,'Annex 2 EHV charges'!$A:$O,10,FALSE)),"")</f>
        <v/>
      </c>
      <c r="H160" s="98" t="str">
        <f>IFERROR(IF(VLOOKUP($A160,'Annex 2 EHV charges'!$A:$O,11,FALSE)=0,"",VLOOKUP($A160,'Annex 2 EHV charges'!$A:$O,11,FALSE)),"")</f>
        <v/>
      </c>
    </row>
    <row r="161" spans="1:8" x14ac:dyDescent="0.2">
      <c r="A161" s="91" t="str">
        <f t="array" ref="A161">IFERROR(INDEX('Annex 2 EHV charges'!$A$10:$A$259, MATCH(0, IF(ISBLANK('Annex 2 EHV charges'!$A$10:$A$259),1, COUNTIF(A$4:$A160, 'Annex 2 EHV charges'!$A$10:$A$259)), 0)),"")</f>
        <v/>
      </c>
      <c r="B161" s="91" t="str">
        <f>IF($A161="","",VLOOKUP($A161,'Annex 2 EHV charges'!$A:$O,2,0))</f>
        <v/>
      </c>
      <c r="C161" s="92" t="str">
        <f>IF($A161="","",VLOOKUP($A161,'Annex 2 EHV charges'!$A:$O,3,0))</f>
        <v/>
      </c>
      <c r="D161" s="91" t="str">
        <f>IF($A161="","",VLOOKUP($A161,'Annex 2 EHV charges'!$A:$O,7,0))</f>
        <v/>
      </c>
      <c r="E161" s="96" t="str">
        <f>IFERROR(IF(VLOOKUP($A161,'Annex 2 EHV charges'!$A:$O,8,FALSE)=0,"",VLOOKUP($A161,'Annex 2 EHV charges'!$A:$O,8,FALSE)),"")</f>
        <v/>
      </c>
      <c r="F161" s="97" t="str">
        <f>IFERROR(IF(VLOOKUP($A161,'Annex 2 EHV charges'!$A:$O,9,FALSE)=0,"",VLOOKUP($A161,'Annex 2 EHV charges'!$A:$O,9,FALSE)),"")</f>
        <v/>
      </c>
      <c r="G161" s="98" t="str">
        <f>IFERROR(IF(VLOOKUP($A161,'Annex 2 EHV charges'!$A:$O,10,FALSE)=0,"",VLOOKUP($A161,'Annex 2 EHV charges'!$A:$O,10,FALSE)),"")</f>
        <v/>
      </c>
      <c r="H161" s="98" t="str">
        <f>IFERROR(IF(VLOOKUP($A161,'Annex 2 EHV charges'!$A:$O,11,FALSE)=0,"",VLOOKUP($A161,'Annex 2 EHV charges'!$A:$O,11,FALSE)),"")</f>
        <v/>
      </c>
    </row>
    <row r="162" spans="1:8" x14ac:dyDescent="0.2">
      <c r="A162" s="91" t="str">
        <f t="array" ref="A162">IFERROR(INDEX('Annex 2 EHV charges'!$A$10:$A$259, MATCH(0, IF(ISBLANK('Annex 2 EHV charges'!$A$10:$A$259),1, COUNTIF(A$4:$A161, 'Annex 2 EHV charges'!$A$10:$A$259)), 0)),"")</f>
        <v/>
      </c>
      <c r="B162" s="91" t="str">
        <f>IF($A162="","",VLOOKUP($A162,'Annex 2 EHV charges'!$A:$O,2,0))</f>
        <v/>
      </c>
      <c r="C162" s="92" t="str">
        <f>IF($A162="","",VLOOKUP($A162,'Annex 2 EHV charges'!$A:$O,3,0))</f>
        <v/>
      </c>
      <c r="D162" s="91" t="str">
        <f>IF($A162="","",VLOOKUP($A162,'Annex 2 EHV charges'!$A:$O,7,0))</f>
        <v/>
      </c>
      <c r="E162" s="96" t="str">
        <f>IFERROR(IF(VLOOKUP($A162,'Annex 2 EHV charges'!$A:$O,8,FALSE)=0,"",VLOOKUP($A162,'Annex 2 EHV charges'!$A:$O,8,FALSE)),"")</f>
        <v/>
      </c>
      <c r="F162" s="97" t="str">
        <f>IFERROR(IF(VLOOKUP($A162,'Annex 2 EHV charges'!$A:$O,9,FALSE)=0,"",VLOOKUP($A162,'Annex 2 EHV charges'!$A:$O,9,FALSE)),"")</f>
        <v/>
      </c>
      <c r="G162" s="98" t="str">
        <f>IFERROR(IF(VLOOKUP($A162,'Annex 2 EHV charges'!$A:$O,10,FALSE)=0,"",VLOOKUP($A162,'Annex 2 EHV charges'!$A:$O,10,FALSE)),"")</f>
        <v/>
      </c>
      <c r="H162" s="98" t="str">
        <f>IFERROR(IF(VLOOKUP($A162,'Annex 2 EHV charges'!$A:$O,11,FALSE)=0,"",VLOOKUP($A162,'Annex 2 EHV charges'!$A:$O,11,FALSE)),"")</f>
        <v/>
      </c>
    </row>
    <row r="163" spans="1:8" x14ac:dyDescent="0.2">
      <c r="A163" s="91" t="str">
        <f t="array" ref="A163">IFERROR(INDEX('Annex 2 EHV charges'!$A$10:$A$259, MATCH(0, IF(ISBLANK('Annex 2 EHV charges'!$A$10:$A$259),1, COUNTIF(A$4:$A162, 'Annex 2 EHV charges'!$A$10:$A$259)), 0)),"")</f>
        <v/>
      </c>
      <c r="B163" s="91" t="str">
        <f>IF($A163="","",VLOOKUP($A163,'Annex 2 EHV charges'!$A:$O,2,0))</f>
        <v/>
      </c>
      <c r="C163" s="92" t="str">
        <f>IF($A163="","",VLOOKUP($A163,'Annex 2 EHV charges'!$A:$O,3,0))</f>
        <v/>
      </c>
      <c r="D163" s="91" t="str">
        <f>IF($A163="","",VLOOKUP($A163,'Annex 2 EHV charges'!$A:$O,7,0))</f>
        <v/>
      </c>
      <c r="E163" s="96" t="str">
        <f>IFERROR(IF(VLOOKUP($A163,'Annex 2 EHV charges'!$A:$O,8,FALSE)=0,"",VLOOKUP($A163,'Annex 2 EHV charges'!$A:$O,8,FALSE)),"")</f>
        <v/>
      </c>
      <c r="F163" s="97" t="str">
        <f>IFERROR(IF(VLOOKUP($A163,'Annex 2 EHV charges'!$A:$O,9,FALSE)=0,"",VLOOKUP($A163,'Annex 2 EHV charges'!$A:$O,9,FALSE)),"")</f>
        <v/>
      </c>
      <c r="G163" s="98" t="str">
        <f>IFERROR(IF(VLOOKUP($A163,'Annex 2 EHV charges'!$A:$O,10,FALSE)=0,"",VLOOKUP($A163,'Annex 2 EHV charges'!$A:$O,10,FALSE)),"")</f>
        <v/>
      </c>
      <c r="H163" s="98" t="str">
        <f>IFERROR(IF(VLOOKUP($A163,'Annex 2 EHV charges'!$A:$O,11,FALSE)=0,"",VLOOKUP($A163,'Annex 2 EHV charges'!$A:$O,11,FALSE)),"")</f>
        <v/>
      </c>
    </row>
    <row r="164" spans="1:8" x14ac:dyDescent="0.2">
      <c r="A164" s="91" t="str">
        <f t="array" ref="A164">IFERROR(INDEX('Annex 2 EHV charges'!$A$10:$A$259, MATCH(0, IF(ISBLANK('Annex 2 EHV charges'!$A$10:$A$259),1, COUNTIF(A$4:$A163, 'Annex 2 EHV charges'!$A$10:$A$259)), 0)),"")</f>
        <v/>
      </c>
      <c r="B164" s="91" t="str">
        <f>IF($A164="","",VLOOKUP($A164,'Annex 2 EHV charges'!$A:$O,2,0))</f>
        <v/>
      </c>
      <c r="C164" s="92" t="str">
        <f>IF($A164="","",VLOOKUP($A164,'Annex 2 EHV charges'!$A:$O,3,0))</f>
        <v/>
      </c>
      <c r="D164" s="91" t="str">
        <f>IF($A164="","",VLOOKUP($A164,'Annex 2 EHV charges'!$A:$O,7,0))</f>
        <v/>
      </c>
      <c r="E164" s="96" t="str">
        <f>IFERROR(IF(VLOOKUP($A164,'Annex 2 EHV charges'!$A:$O,8,FALSE)=0,"",VLOOKUP($A164,'Annex 2 EHV charges'!$A:$O,8,FALSE)),"")</f>
        <v/>
      </c>
      <c r="F164" s="97" t="str">
        <f>IFERROR(IF(VLOOKUP($A164,'Annex 2 EHV charges'!$A:$O,9,FALSE)=0,"",VLOOKUP($A164,'Annex 2 EHV charges'!$A:$O,9,FALSE)),"")</f>
        <v/>
      </c>
      <c r="G164" s="98" t="str">
        <f>IFERROR(IF(VLOOKUP($A164,'Annex 2 EHV charges'!$A:$O,10,FALSE)=0,"",VLOOKUP($A164,'Annex 2 EHV charges'!$A:$O,10,FALSE)),"")</f>
        <v/>
      </c>
      <c r="H164" s="98" t="str">
        <f>IFERROR(IF(VLOOKUP($A164,'Annex 2 EHV charges'!$A:$O,11,FALSE)=0,"",VLOOKUP($A164,'Annex 2 EHV charges'!$A:$O,11,FALSE)),"")</f>
        <v/>
      </c>
    </row>
    <row r="165" spans="1:8" x14ac:dyDescent="0.2">
      <c r="A165" s="91" t="str">
        <f t="array" ref="A165">IFERROR(INDEX('Annex 2 EHV charges'!$A$10:$A$259, MATCH(0, IF(ISBLANK('Annex 2 EHV charges'!$A$10:$A$259),1, COUNTIF(A$4:$A164, 'Annex 2 EHV charges'!$A$10:$A$259)), 0)),"")</f>
        <v/>
      </c>
      <c r="B165" s="91" t="str">
        <f>IF($A165="","",VLOOKUP($A165,'Annex 2 EHV charges'!$A:$O,2,0))</f>
        <v/>
      </c>
      <c r="C165" s="92" t="str">
        <f>IF($A165="","",VLOOKUP($A165,'Annex 2 EHV charges'!$A:$O,3,0))</f>
        <v/>
      </c>
      <c r="D165" s="91" t="str">
        <f>IF($A165="","",VLOOKUP($A165,'Annex 2 EHV charges'!$A:$O,7,0))</f>
        <v/>
      </c>
      <c r="E165" s="96" t="str">
        <f>IFERROR(IF(VLOOKUP($A165,'Annex 2 EHV charges'!$A:$O,8,FALSE)=0,"",VLOOKUP($A165,'Annex 2 EHV charges'!$A:$O,8,FALSE)),"")</f>
        <v/>
      </c>
      <c r="F165" s="97" t="str">
        <f>IFERROR(IF(VLOOKUP($A165,'Annex 2 EHV charges'!$A:$O,9,FALSE)=0,"",VLOOKUP($A165,'Annex 2 EHV charges'!$A:$O,9,FALSE)),"")</f>
        <v/>
      </c>
      <c r="G165" s="98" t="str">
        <f>IFERROR(IF(VLOOKUP($A165,'Annex 2 EHV charges'!$A:$O,10,FALSE)=0,"",VLOOKUP($A165,'Annex 2 EHV charges'!$A:$O,10,FALSE)),"")</f>
        <v/>
      </c>
      <c r="H165" s="98" t="str">
        <f>IFERROR(IF(VLOOKUP($A165,'Annex 2 EHV charges'!$A:$O,11,FALSE)=0,"",VLOOKUP($A165,'Annex 2 EHV charges'!$A:$O,11,FALSE)),"")</f>
        <v/>
      </c>
    </row>
    <row r="166" spans="1:8" x14ac:dyDescent="0.2">
      <c r="A166" s="91" t="str">
        <f t="array" ref="A166">IFERROR(INDEX('Annex 2 EHV charges'!$A$10:$A$259, MATCH(0, IF(ISBLANK('Annex 2 EHV charges'!$A$10:$A$259),1, COUNTIF(A$4:$A165, 'Annex 2 EHV charges'!$A$10:$A$259)), 0)),"")</f>
        <v/>
      </c>
      <c r="B166" s="91" t="str">
        <f>IF($A166="","",VLOOKUP($A166,'Annex 2 EHV charges'!$A:$O,2,0))</f>
        <v/>
      </c>
      <c r="C166" s="92" t="str">
        <f>IF($A166="","",VLOOKUP($A166,'Annex 2 EHV charges'!$A:$O,3,0))</f>
        <v/>
      </c>
      <c r="D166" s="91" t="str">
        <f>IF($A166="","",VLOOKUP($A166,'Annex 2 EHV charges'!$A:$O,7,0))</f>
        <v/>
      </c>
      <c r="E166" s="96" t="str">
        <f>IFERROR(IF(VLOOKUP($A166,'Annex 2 EHV charges'!$A:$O,8,FALSE)=0,"",VLOOKUP($A166,'Annex 2 EHV charges'!$A:$O,8,FALSE)),"")</f>
        <v/>
      </c>
      <c r="F166" s="97" t="str">
        <f>IFERROR(IF(VLOOKUP($A166,'Annex 2 EHV charges'!$A:$O,9,FALSE)=0,"",VLOOKUP($A166,'Annex 2 EHV charges'!$A:$O,9,FALSE)),"")</f>
        <v/>
      </c>
      <c r="G166" s="98" t="str">
        <f>IFERROR(IF(VLOOKUP($A166,'Annex 2 EHV charges'!$A:$O,10,FALSE)=0,"",VLOOKUP($A166,'Annex 2 EHV charges'!$A:$O,10,FALSE)),"")</f>
        <v/>
      </c>
      <c r="H166" s="98" t="str">
        <f>IFERROR(IF(VLOOKUP($A166,'Annex 2 EHV charges'!$A:$O,11,FALSE)=0,"",VLOOKUP($A166,'Annex 2 EHV charges'!$A:$O,11,FALSE)),"")</f>
        <v/>
      </c>
    </row>
    <row r="167" spans="1:8" x14ac:dyDescent="0.2">
      <c r="A167" s="91" t="str">
        <f t="array" ref="A167">IFERROR(INDEX('Annex 2 EHV charges'!$A$10:$A$259, MATCH(0, IF(ISBLANK('Annex 2 EHV charges'!$A$10:$A$259),1, COUNTIF(A$4:$A166, 'Annex 2 EHV charges'!$A$10:$A$259)), 0)),"")</f>
        <v/>
      </c>
      <c r="B167" s="91" t="str">
        <f>IF($A167="","",VLOOKUP($A167,'Annex 2 EHV charges'!$A:$O,2,0))</f>
        <v/>
      </c>
      <c r="C167" s="92" t="str">
        <f>IF($A167="","",VLOOKUP($A167,'Annex 2 EHV charges'!$A:$O,3,0))</f>
        <v/>
      </c>
      <c r="D167" s="91" t="str">
        <f>IF($A167="","",VLOOKUP($A167,'Annex 2 EHV charges'!$A:$O,7,0))</f>
        <v/>
      </c>
      <c r="E167" s="96" t="str">
        <f>IFERROR(IF(VLOOKUP($A167,'Annex 2 EHV charges'!$A:$O,8,FALSE)=0,"",VLOOKUP($A167,'Annex 2 EHV charges'!$A:$O,8,FALSE)),"")</f>
        <v/>
      </c>
      <c r="F167" s="97" t="str">
        <f>IFERROR(IF(VLOOKUP($A167,'Annex 2 EHV charges'!$A:$O,9,FALSE)=0,"",VLOOKUP($A167,'Annex 2 EHV charges'!$A:$O,9,FALSE)),"")</f>
        <v/>
      </c>
      <c r="G167" s="98" t="str">
        <f>IFERROR(IF(VLOOKUP($A167,'Annex 2 EHV charges'!$A:$O,10,FALSE)=0,"",VLOOKUP($A167,'Annex 2 EHV charges'!$A:$O,10,FALSE)),"")</f>
        <v/>
      </c>
      <c r="H167" s="98" t="str">
        <f>IFERROR(IF(VLOOKUP($A167,'Annex 2 EHV charges'!$A:$O,11,FALSE)=0,"",VLOOKUP($A167,'Annex 2 EHV charges'!$A:$O,11,FALSE)),"")</f>
        <v/>
      </c>
    </row>
    <row r="168" spans="1:8" x14ac:dyDescent="0.2">
      <c r="A168" s="91" t="str">
        <f t="array" ref="A168">IFERROR(INDEX('Annex 2 EHV charges'!$A$10:$A$259, MATCH(0, IF(ISBLANK('Annex 2 EHV charges'!$A$10:$A$259),1, COUNTIF(A$4:$A167, 'Annex 2 EHV charges'!$A$10:$A$259)), 0)),"")</f>
        <v/>
      </c>
      <c r="B168" s="91" t="str">
        <f>IF($A168="","",VLOOKUP($A168,'Annex 2 EHV charges'!$A:$O,2,0))</f>
        <v/>
      </c>
      <c r="C168" s="92" t="str">
        <f>IF($A168="","",VLOOKUP($A168,'Annex 2 EHV charges'!$A:$O,3,0))</f>
        <v/>
      </c>
      <c r="D168" s="91" t="str">
        <f>IF($A168="","",VLOOKUP($A168,'Annex 2 EHV charges'!$A:$O,7,0))</f>
        <v/>
      </c>
      <c r="E168" s="96" t="str">
        <f>IFERROR(IF(VLOOKUP($A168,'Annex 2 EHV charges'!$A:$O,8,FALSE)=0,"",VLOOKUP($A168,'Annex 2 EHV charges'!$A:$O,8,FALSE)),"")</f>
        <v/>
      </c>
      <c r="F168" s="97" t="str">
        <f>IFERROR(IF(VLOOKUP($A168,'Annex 2 EHV charges'!$A:$O,9,FALSE)=0,"",VLOOKUP($A168,'Annex 2 EHV charges'!$A:$O,9,FALSE)),"")</f>
        <v/>
      </c>
      <c r="G168" s="98" t="str">
        <f>IFERROR(IF(VLOOKUP($A168,'Annex 2 EHV charges'!$A:$O,10,FALSE)=0,"",VLOOKUP($A168,'Annex 2 EHV charges'!$A:$O,10,FALSE)),"")</f>
        <v/>
      </c>
      <c r="H168" s="98" t="str">
        <f>IFERROR(IF(VLOOKUP($A168,'Annex 2 EHV charges'!$A:$O,11,FALSE)=0,"",VLOOKUP($A168,'Annex 2 EHV charges'!$A:$O,11,FALSE)),"")</f>
        <v/>
      </c>
    </row>
    <row r="169" spans="1:8" x14ac:dyDescent="0.2">
      <c r="A169" s="91" t="str">
        <f t="array" ref="A169">IFERROR(INDEX('Annex 2 EHV charges'!$A$10:$A$259, MATCH(0, IF(ISBLANK('Annex 2 EHV charges'!$A$10:$A$259),1, COUNTIF(A$4:$A168, 'Annex 2 EHV charges'!$A$10:$A$259)), 0)),"")</f>
        <v/>
      </c>
      <c r="B169" s="91" t="str">
        <f>IF($A169="","",VLOOKUP($A169,'Annex 2 EHV charges'!$A:$O,2,0))</f>
        <v/>
      </c>
      <c r="C169" s="92" t="str">
        <f>IF($A169="","",VLOOKUP($A169,'Annex 2 EHV charges'!$A:$O,3,0))</f>
        <v/>
      </c>
      <c r="D169" s="91" t="str">
        <f>IF($A169="","",VLOOKUP($A169,'Annex 2 EHV charges'!$A:$O,7,0))</f>
        <v/>
      </c>
      <c r="E169" s="96" t="str">
        <f>IFERROR(IF(VLOOKUP($A169,'Annex 2 EHV charges'!$A:$O,8,FALSE)=0,"",VLOOKUP($A169,'Annex 2 EHV charges'!$A:$O,8,FALSE)),"")</f>
        <v/>
      </c>
      <c r="F169" s="97" t="str">
        <f>IFERROR(IF(VLOOKUP($A169,'Annex 2 EHV charges'!$A:$O,9,FALSE)=0,"",VLOOKUP($A169,'Annex 2 EHV charges'!$A:$O,9,FALSE)),"")</f>
        <v/>
      </c>
      <c r="G169" s="98" t="str">
        <f>IFERROR(IF(VLOOKUP($A169,'Annex 2 EHV charges'!$A:$O,10,FALSE)=0,"",VLOOKUP($A169,'Annex 2 EHV charges'!$A:$O,10,FALSE)),"")</f>
        <v/>
      </c>
      <c r="H169" s="98" t="str">
        <f>IFERROR(IF(VLOOKUP($A169,'Annex 2 EHV charges'!$A:$O,11,FALSE)=0,"",VLOOKUP($A169,'Annex 2 EHV charges'!$A:$O,11,FALSE)),"")</f>
        <v/>
      </c>
    </row>
    <row r="170" spans="1:8" x14ac:dyDescent="0.2">
      <c r="A170" s="91" t="str">
        <f t="array" ref="A170">IFERROR(INDEX('Annex 2 EHV charges'!$A$10:$A$259, MATCH(0, IF(ISBLANK('Annex 2 EHV charges'!$A$10:$A$259),1, COUNTIF(A$4:$A169, 'Annex 2 EHV charges'!$A$10:$A$259)), 0)),"")</f>
        <v/>
      </c>
      <c r="B170" s="91" t="str">
        <f>IF($A170="","",VLOOKUP($A170,'Annex 2 EHV charges'!$A:$O,2,0))</f>
        <v/>
      </c>
      <c r="C170" s="92" t="str">
        <f>IF($A170="","",VLOOKUP($A170,'Annex 2 EHV charges'!$A:$O,3,0))</f>
        <v/>
      </c>
      <c r="D170" s="91" t="str">
        <f>IF($A170="","",VLOOKUP($A170,'Annex 2 EHV charges'!$A:$O,7,0))</f>
        <v/>
      </c>
      <c r="E170" s="96" t="str">
        <f>IFERROR(IF(VLOOKUP($A170,'Annex 2 EHV charges'!$A:$O,8,FALSE)=0,"",VLOOKUP($A170,'Annex 2 EHV charges'!$A:$O,8,FALSE)),"")</f>
        <v/>
      </c>
      <c r="F170" s="97" t="str">
        <f>IFERROR(IF(VLOOKUP($A170,'Annex 2 EHV charges'!$A:$O,9,FALSE)=0,"",VLOOKUP($A170,'Annex 2 EHV charges'!$A:$O,9,FALSE)),"")</f>
        <v/>
      </c>
      <c r="G170" s="98" t="str">
        <f>IFERROR(IF(VLOOKUP($A170,'Annex 2 EHV charges'!$A:$O,10,FALSE)=0,"",VLOOKUP($A170,'Annex 2 EHV charges'!$A:$O,10,FALSE)),"")</f>
        <v/>
      </c>
      <c r="H170" s="98" t="str">
        <f>IFERROR(IF(VLOOKUP($A170,'Annex 2 EHV charges'!$A:$O,11,FALSE)=0,"",VLOOKUP($A170,'Annex 2 EHV charges'!$A:$O,11,FALSE)),"")</f>
        <v/>
      </c>
    </row>
    <row r="171" spans="1:8" x14ac:dyDescent="0.2">
      <c r="A171" s="91" t="str">
        <f t="array" ref="A171">IFERROR(INDEX('Annex 2 EHV charges'!$A$10:$A$259, MATCH(0, IF(ISBLANK('Annex 2 EHV charges'!$A$10:$A$259),1, COUNTIF(A$4:$A170, 'Annex 2 EHV charges'!$A$10:$A$259)), 0)),"")</f>
        <v/>
      </c>
      <c r="B171" s="91" t="str">
        <f>IF($A171="","",VLOOKUP($A171,'Annex 2 EHV charges'!$A:$O,2,0))</f>
        <v/>
      </c>
      <c r="C171" s="92" t="str">
        <f>IF($A171="","",VLOOKUP($A171,'Annex 2 EHV charges'!$A:$O,3,0))</f>
        <v/>
      </c>
      <c r="D171" s="91" t="str">
        <f>IF($A171="","",VLOOKUP($A171,'Annex 2 EHV charges'!$A:$O,7,0))</f>
        <v/>
      </c>
      <c r="E171" s="96" t="str">
        <f>IFERROR(IF(VLOOKUP($A171,'Annex 2 EHV charges'!$A:$O,8,FALSE)=0,"",VLOOKUP($A171,'Annex 2 EHV charges'!$A:$O,8,FALSE)),"")</f>
        <v/>
      </c>
      <c r="F171" s="97" t="str">
        <f>IFERROR(IF(VLOOKUP($A171,'Annex 2 EHV charges'!$A:$O,9,FALSE)=0,"",VLOOKUP($A171,'Annex 2 EHV charges'!$A:$O,9,FALSE)),"")</f>
        <v/>
      </c>
      <c r="G171" s="98" t="str">
        <f>IFERROR(IF(VLOOKUP($A171,'Annex 2 EHV charges'!$A:$O,10,FALSE)=0,"",VLOOKUP($A171,'Annex 2 EHV charges'!$A:$O,10,FALSE)),"")</f>
        <v/>
      </c>
      <c r="H171" s="98" t="str">
        <f>IFERROR(IF(VLOOKUP($A171,'Annex 2 EHV charges'!$A:$O,11,FALSE)=0,"",VLOOKUP($A171,'Annex 2 EHV charges'!$A:$O,11,FALSE)),"")</f>
        <v/>
      </c>
    </row>
    <row r="172" spans="1:8" x14ac:dyDescent="0.2">
      <c r="A172" s="91" t="str">
        <f t="array" ref="A172">IFERROR(INDEX('Annex 2 EHV charges'!$A$10:$A$259, MATCH(0, IF(ISBLANK('Annex 2 EHV charges'!$A$10:$A$259),1, COUNTIF(A$4:$A171, 'Annex 2 EHV charges'!$A$10:$A$259)), 0)),"")</f>
        <v/>
      </c>
      <c r="B172" s="91" t="str">
        <f>IF($A172="","",VLOOKUP($A172,'Annex 2 EHV charges'!$A:$O,2,0))</f>
        <v/>
      </c>
      <c r="C172" s="92" t="str">
        <f>IF($A172="","",VLOOKUP($A172,'Annex 2 EHV charges'!$A:$O,3,0))</f>
        <v/>
      </c>
      <c r="D172" s="91" t="str">
        <f>IF($A172="","",VLOOKUP($A172,'Annex 2 EHV charges'!$A:$O,7,0))</f>
        <v/>
      </c>
      <c r="E172" s="96" t="str">
        <f>IFERROR(IF(VLOOKUP($A172,'Annex 2 EHV charges'!$A:$O,8,FALSE)=0,"",VLOOKUP($A172,'Annex 2 EHV charges'!$A:$O,8,FALSE)),"")</f>
        <v/>
      </c>
      <c r="F172" s="97" t="str">
        <f>IFERROR(IF(VLOOKUP($A172,'Annex 2 EHV charges'!$A:$O,9,FALSE)=0,"",VLOOKUP($A172,'Annex 2 EHV charges'!$A:$O,9,FALSE)),"")</f>
        <v/>
      </c>
      <c r="G172" s="98" t="str">
        <f>IFERROR(IF(VLOOKUP($A172,'Annex 2 EHV charges'!$A:$O,10,FALSE)=0,"",VLOOKUP($A172,'Annex 2 EHV charges'!$A:$O,10,FALSE)),"")</f>
        <v/>
      </c>
      <c r="H172" s="98" t="str">
        <f>IFERROR(IF(VLOOKUP($A172,'Annex 2 EHV charges'!$A:$O,11,FALSE)=0,"",VLOOKUP($A172,'Annex 2 EHV charges'!$A:$O,11,FALSE)),"")</f>
        <v/>
      </c>
    </row>
    <row r="173" spans="1:8" x14ac:dyDescent="0.2">
      <c r="A173" s="91" t="str">
        <f t="array" ref="A173">IFERROR(INDEX('Annex 2 EHV charges'!$A$10:$A$259, MATCH(0, IF(ISBLANK('Annex 2 EHV charges'!$A$10:$A$259),1, COUNTIF(A$4:$A172, 'Annex 2 EHV charges'!$A$10:$A$259)), 0)),"")</f>
        <v/>
      </c>
      <c r="B173" s="91" t="str">
        <f>IF($A173="","",VLOOKUP($A173,'Annex 2 EHV charges'!$A:$O,2,0))</f>
        <v/>
      </c>
      <c r="C173" s="92" t="str">
        <f>IF($A173="","",VLOOKUP($A173,'Annex 2 EHV charges'!$A:$O,3,0))</f>
        <v/>
      </c>
      <c r="D173" s="91" t="str">
        <f>IF($A173="","",VLOOKUP($A173,'Annex 2 EHV charges'!$A:$O,7,0))</f>
        <v/>
      </c>
      <c r="E173" s="96" t="str">
        <f>IFERROR(IF(VLOOKUP($A173,'Annex 2 EHV charges'!$A:$O,8,FALSE)=0,"",VLOOKUP($A173,'Annex 2 EHV charges'!$A:$O,8,FALSE)),"")</f>
        <v/>
      </c>
      <c r="F173" s="97" t="str">
        <f>IFERROR(IF(VLOOKUP($A173,'Annex 2 EHV charges'!$A:$O,9,FALSE)=0,"",VLOOKUP($A173,'Annex 2 EHV charges'!$A:$O,9,FALSE)),"")</f>
        <v/>
      </c>
      <c r="G173" s="98" t="str">
        <f>IFERROR(IF(VLOOKUP($A173,'Annex 2 EHV charges'!$A:$O,10,FALSE)=0,"",VLOOKUP($A173,'Annex 2 EHV charges'!$A:$O,10,FALSE)),"")</f>
        <v/>
      </c>
      <c r="H173" s="98" t="str">
        <f>IFERROR(IF(VLOOKUP($A173,'Annex 2 EHV charges'!$A:$O,11,FALSE)=0,"",VLOOKUP($A173,'Annex 2 EHV charges'!$A:$O,11,FALSE)),"")</f>
        <v/>
      </c>
    </row>
    <row r="174" spans="1:8" x14ac:dyDescent="0.2">
      <c r="A174" s="91" t="str">
        <f t="array" ref="A174">IFERROR(INDEX('Annex 2 EHV charges'!$A$10:$A$259, MATCH(0, IF(ISBLANK('Annex 2 EHV charges'!$A$10:$A$259),1, COUNTIF(A$4:$A173, 'Annex 2 EHV charges'!$A$10:$A$259)), 0)),"")</f>
        <v/>
      </c>
      <c r="B174" s="91" t="str">
        <f>IF($A174="","",VLOOKUP($A174,'Annex 2 EHV charges'!$A:$O,2,0))</f>
        <v/>
      </c>
      <c r="C174" s="92" t="str">
        <f>IF($A174="","",VLOOKUP($A174,'Annex 2 EHV charges'!$A:$O,3,0))</f>
        <v/>
      </c>
      <c r="D174" s="91" t="str">
        <f>IF($A174="","",VLOOKUP($A174,'Annex 2 EHV charges'!$A:$O,7,0))</f>
        <v/>
      </c>
      <c r="E174" s="96" t="str">
        <f>IFERROR(IF(VLOOKUP($A174,'Annex 2 EHV charges'!$A:$O,8,FALSE)=0,"",VLOOKUP($A174,'Annex 2 EHV charges'!$A:$O,8,FALSE)),"")</f>
        <v/>
      </c>
      <c r="F174" s="97" t="str">
        <f>IFERROR(IF(VLOOKUP($A174,'Annex 2 EHV charges'!$A:$O,9,FALSE)=0,"",VLOOKUP($A174,'Annex 2 EHV charges'!$A:$O,9,FALSE)),"")</f>
        <v/>
      </c>
      <c r="G174" s="98" t="str">
        <f>IFERROR(IF(VLOOKUP($A174,'Annex 2 EHV charges'!$A:$O,10,FALSE)=0,"",VLOOKUP($A174,'Annex 2 EHV charges'!$A:$O,10,FALSE)),"")</f>
        <v/>
      </c>
      <c r="H174" s="98" t="str">
        <f>IFERROR(IF(VLOOKUP($A174,'Annex 2 EHV charges'!$A:$O,11,FALSE)=0,"",VLOOKUP($A174,'Annex 2 EHV charges'!$A:$O,11,FALSE)),"")</f>
        <v/>
      </c>
    </row>
    <row r="175" spans="1:8" x14ac:dyDescent="0.2">
      <c r="A175" s="91" t="str">
        <f t="array" ref="A175">IFERROR(INDEX('Annex 2 EHV charges'!$A$10:$A$259, MATCH(0, IF(ISBLANK('Annex 2 EHV charges'!$A$10:$A$259),1, COUNTIF(A$4:$A174, 'Annex 2 EHV charges'!$A$10:$A$259)), 0)),"")</f>
        <v/>
      </c>
      <c r="B175" s="91" t="str">
        <f>IF($A175="","",VLOOKUP($A175,'Annex 2 EHV charges'!$A:$O,2,0))</f>
        <v/>
      </c>
      <c r="C175" s="92" t="str">
        <f>IF($A175="","",VLOOKUP($A175,'Annex 2 EHV charges'!$A:$O,3,0))</f>
        <v/>
      </c>
      <c r="D175" s="91" t="str">
        <f>IF($A175="","",VLOOKUP($A175,'Annex 2 EHV charges'!$A:$O,7,0))</f>
        <v/>
      </c>
      <c r="E175" s="96" t="str">
        <f>IFERROR(IF(VLOOKUP($A175,'Annex 2 EHV charges'!$A:$O,8,FALSE)=0,"",VLOOKUP($A175,'Annex 2 EHV charges'!$A:$O,8,FALSE)),"")</f>
        <v/>
      </c>
      <c r="F175" s="97" t="str">
        <f>IFERROR(IF(VLOOKUP($A175,'Annex 2 EHV charges'!$A:$O,9,FALSE)=0,"",VLOOKUP($A175,'Annex 2 EHV charges'!$A:$O,9,FALSE)),"")</f>
        <v/>
      </c>
      <c r="G175" s="98" t="str">
        <f>IFERROR(IF(VLOOKUP($A175,'Annex 2 EHV charges'!$A:$O,10,FALSE)=0,"",VLOOKUP($A175,'Annex 2 EHV charges'!$A:$O,10,FALSE)),"")</f>
        <v/>
      </c>
      <c r="H175" s="98" t="str">
        <f>IFERROR(IF(VLOOKUP($A175,'Annex 2 EHV charges'!$A:$O,11,FALSE)=0,"",VLOOKUP($A175,'Annex 2 EHV charges'!$A:$O,11,FALSE)),"")</f>
        <v/>
      </c>
    </row>
    <row r="176" spans="1:8" x14ac:dyDescent="0.2">
      <c r="A176" s="91" t="str">
        <f t="array" ref="A176">IFERROR(INDEX('Annex 2 EHV charges'!$A$10:$A$259, MATCH(0, IF(ISBLANK('Annex 2 EHV charges'!$A$10:$A$259),1, COUNTIF(A$4:$A175, 'Annex 2 EHV charges'!$A$10:$A$259)), 0)),"")</f>
        <v/>
      </c>
      <c r="B176" s="91" t="str">
        <f>IF($A176="","",VLOOKUP($A176,'Annex 2 EHV charges'!$A:$O,2,0))</f>
        <v/>
      </c>
      <c r="C176" s="92" t="str">
        <f>IF($A176="","",VLOOKUP($A176,'Annex 2 EHV charges'!$A:$O,3,0))</f>
        <v/>
      </c>
      <c r="D176" s="91" t="str">
        <f>IF($A176="","",VLOOKUP($A176,'Annex 2 EHV charges'!$A:$O,7,0))</f>
        <v/>
      </c>
      <c r="E176" s="96" t="str">
        <f>IFERROR(IF(VLOOKUP($A176,'Annex 2 EHV charges'!$A:$O,8,FALSE)=0,"",VLOOKUP($A176,'Annex 2 EHV charges'!$A:$O,8,FALSE)),"")</f>
        <v/>
      </c>
      <c r="F176" s="97" t="str">
        <f>IFERROR(IF(VLOOKUP($A176,'Annex 2 EHV charges'!$A:$O,9,FALSE)=0,"",VLOOKUP($A176,'Annex 2 EHV charges'!$A:$O,9,FALSE)),"")</f>
        <v/>
      </c>
      <c r="G176" s="98" t="str">
        <f>IFERROR(IF(VLOOKUP($A176,'Annex 2 EHV charges'!$A:$O,10,FALSE)=0,"",VLOOKUP($A176,'Annex 2 EHV charges'!$A:$O,10,FALSE)),"")</f>
        <v/>
      </c>
      <c r="H176" s="98" t="str">
        <f>IFERROR(IF(VLOOKUP($A176,'Annex 2 EHV charges'!$A:$O,11,FALSE)=0,"",VLOOKUP($A176,'Annex 2 EHV charges'!$A:$O,11,FALSE)),"")</f>
        <v/>
      </c>
    </row>
    <row r="177" spans="1:8" x14ac:dyDescent="0.2">
      <c r="A177" s="91" t="str">
        <f t="array" ref="A177">IFERROR(INDEX('Annex 2 EHV charges'!$A$10:$A$259, MATCH(0, IF(ISBLANK('Annex 2 EHV charges'!$A$10:$A$259),1, COUNTIF(A$4:$A176, 'Annex 2 EHV charges'!$A$10:$A$259)), 0)),"")</f>
        <v/>
      </c>
      <c r="B177" s="91" t="str">
        <f>IF($A177="","",VLOOKUP($A177,'Annex 2 EHV charges'!$A:$O,2,0))</f>
        <v/>
      </c>
      <c r="C177" s="92" t="str">
        <f>IF($A177="","",VLOOKUP($A177,'Annex 2 EHV charges'!$A:$O,3,0))</f>
        <v/>
      </c>
      <c r="D177" s="91" t="str">
        <f>IF($A177="","",VLOOKUP($A177,'Annex 2 EHV charges'!$A:$O,7,0))</f>
        <v/>
      </c>
      <c r="E177" s="96" t="str">
        <f>IFERROR(IF(VLOOKUP($A177,'Annex 2 EHV charges'!$A:$O,8,FALSE)=0,"",VLOOKUP($A177,'Annex 2 EHV charges'!$A:$O,8,FALSE)),"")</f>
        <v/>
      </c>
      <c r="F177" s="97" t="str">
        <f>IFERROR(IF(VLOOKUP($A177,'Annex 2 EHV charges'!$A:$O,9,FALSE)=0,"",VLOOKUP($A177,'Annex 2 EHV charges'!$A:$O,9,FALSE)),"")</f>
        <v/>
      </c>
      <c r="G177" s="98" t="str">
        <f>IFERROR(IF(VLOOKUP($A177,'Annex 2 EHV charges'!$A:$O,10,FALSE)=0,"",VLOOKUP($A177,'Annex 2 EHV charges'!$A:$O,10,FALSE)),"")</f>
        <v/>
      </c>
      <c r="H177" s="98" t="str">
        <f>IFERROR(IF(VLOOKUP($A177,'Annex 2 EHV charges'!$A:$O,11,FALSE)=0,"",VLOOKUP($A177,'Annex 2 EHV charges'!$A:$O,11,FALSE)),"")</f>
        <v/>
      </c>
    </row>
    <row r="178" spans="1:8" x14ac:dyDescent="0.2">
      <c r="A178" s="91" t="str">
        <f t="array" ref="A178">IFERROR(INDEX('Annex 2 EHV charges'!$A$10:$A$259, MATCH(0, IF(ISBLANK('Annex 2 EHV charges'!$A$10:$A$259),1, COUNTIF(A$4:$A177, 'Annex 2 EHV charges'!$A$10:$A$259)), 0)),"")</f>
        <v/>
      </c>
      <c r="B178" s="91" t="str">
        <f>IF($A178="","",VLOOKUP($A178,'Annex 2 EHV charges'!$A:$O,2,0))</f>
        <v/>
      </c>
      <c r="C178" s="92" t="str">
        <f>IF($A178="","",VLOOKUP($A178,'Annex 2 EHV charges'!$A:$O,3,0))</f>
        <v/>
      </c>
      <c r="D178" s="91" t="str">
        <f>IF($A178="","",VLOOKUP($A178,'Annex 2 EHV charges'!$A:$O,7,0))</f>
        <v/>
      </c>
      <c r="E178" s="96" t="str">
        <f>IFERROR(IF(VLOOKUP($A178,'Annex 2 EHV charges'!$A:$O,8,FALSE)=0,"",VLOOKUP($A178,'Annex 2 EHV charges'!$A:$O,8,FALSE)),"")</f>
        <v/>
      </c>
      <c r="F178" s="97" t="str">
        <f>IFERROR(IF(VLOOKUP($A178,'Annex 2 EHV charges'!$A:$O,9,FALSE)=0,"",VLOOKUP($A178,'Annex 2 EHV charges'!$A:$O,9,FALSE)),"")</f>
        <v/>
      </c>
      <c r="G178" s="98" t="str">
        <f>IFERROR(IF(VLOOKUP($A178,'Annex 2 EHV charges'!$A:$O,10,FALSE)=0,"",VLOOKUP($A178,'Annex 2 EHV charges'!$A:$O,10,FALSE)),"")</f>
        <v/>
      </c>
      <c r="H178" s="98" t="str">
        <f>IFERROR(IF(VLOOKUP($A178,'Annex 2 EHV charges'!$A:$O,11,FALSE)=0,"",VLOOKUP($A178,'Annex 2 EHV charges'!$A:$O,11,FALSE)),"")</f>
        <v/>
      </c>
    </row>
    <row r="179" spans="1:8" x14ac:dyDescent="0.2">
      <c r="A179" s="91" t="str">
        <f t="array" ref="A179">IFERROR(INDEX('Annex 2 EHV charges'!$A$10:$A$259, MATCH(0, IF(ISBLANK('Annex 2 EHV charges'!$A$10:$A$259),1, COUNTIF(A$4:$A178, 'Annex 2 EHV charges'!$A$10:$A$259)), 0)),"")</f>
        <v/>
      </c>
      <c r="B179" s="91" t="str">
        <f>IF($A179="","",VLOOKUP($A179,'Annex 2 EHV charges'!$A:$O,2,0))</f>
        <v/>
      </c>
      <c r="C179" s="92" t="str">
        <f>IF($A179="","",VLOOKUP($A179,'Annex 2 EHV charges'!$A:$O,3,0))</f>
        <v/>
      </c>
      <c r="D179" s="91" t="str">
        <f>IF($A179="","",VLOOKUP($A179,'Annex 2 EHV charges'!$A:$O,7,0))</f>
        <v/>
      </c>
      <c r="E179" s="96" t="str">
        <f>IFERROR(IF(VLOOKUP($A179,'Annex 2 EHV charges'!$A:$O,8,FALSE)=0,"",VLOOKUP($A179,'Annex 2 EHV charges'!$A:$O,8,FALSE)),"")</f>
        <v/>
      </c>
      <c r="F179" s="97" t="str">
        <f>IFERROR(IF(VLOOKUP($A179,'Annex 2 EHV charges'!$A:$O,9,FALSE)=0,"",VLOOKUP($A179,'Annex 2 EHV charges'!$A:$O,9,FALSE)),"")</f>
        <v/>
      </c>
      <c r="G179" s="98" t="str">
        <f>IFERROR(IF(VLOOKUP($A179,'Annex 2 EHV charges'!$A:$O,10,FALSE)=0,"",VLOOKUP($A179,'Annex 2 EHV charges'!$A:$O,10,FALSE)),"")</f>
        <v/>
      </c>
      <c r="H179" s="98" t="str">
        <f>IFERROR(IF(VLOOKUP($A179,'Annex 2 EHV charges'!$A:$O,11,FALSE)=0,"",VLOOKUP($A179,'Annex 2 EHV charges'!$A:$O,11,FALSE)),"")</f>
        <v/>
      </c>
    </row>
    <row r="180" spans="1:8" x14ac:dyDescent="0.2">
      <c r="A180" s="91" t="str">
        <f t="array" ref="A180">IFERROR(INDEX('Annex 2 EHV charges'!$A$10:$A$259, MATCH(0, IF(ISBLANK('Annex 2 EHV charges'!$A$10:$A$259),1, COUNTIF(A$4:$A179, 'Annex 2 EHV charges'!$A$10:$A$259)), 0)),"")</f>
        <v/>
      </c>
      <c r="B180" s="91" t="str">
        <f>IF($A180="","",VLOOKUP($A180,'Annex 2 EHV charges'!$A:$O,2,0))</f>
        <v/>
      </c>
      <c r="C180" s="92" t="str">
        <f>IF($A180="","",VLOOKUP($A180,'Annex 2 EHV charges'!$A:$O,3,0))</f>
        <v/>
      </c>
      <c r="D180" s="91" t="str">
        <f>IF($A180="","",VLOOKUP($A180,'Annex 2 EHV charges'!$A:$O,7,0))</f>
        <v/>
      </c>
      <c r="E180" s="96" t="str">
        <f>IFERROR(IF(VLOOKUP($A180,'Annex 2 EHV charges'!$A:$O,8,FALSE)=0,"",VLOOKUP($A180,'Annex 2 EHV charges'!$A:$O,8,FALSE)),"")</f>
        <v/>
      </c>
      <c r="F180" s="97" t="str">
        <f>IFERROR(IF(VLOOKUP($A180,'Annex 2 EHV charges'!$A:$O,9,FALSE)=0,"",VLOOKUP($A180,'Annex 2 EHV charges'!$A:$O,9,FALSE)),"")</f>
        <v/>
      </c>
      <c r="G180" s="98" t="str">
        <f>IFERROR(IF(VLOOKUP($A180,'Annex 2 EHV charges'!$A:$O,10,FALSE)=0,"",VLOOKUP($A180,'Annex 2 EHV charges'!$A:$O,10,FALSE)),"")</f>
        <v/>
      </c>
      <c r="H180" s="98" t="str">
        <f>IFERROR(IF(VLOOKUP($A180,'Annex 2 EHV charges'!$A:$O,11,FALSE)=0,"",VLOOKUP($A180,'Annex 2 EHV charges'!$A:$O,11,FALSE)),"")</f>
        <v/>
      </c>
    </row>
    <row r="181" spans="1:8" x14ac:dyDescent="0.2">
      <c r="A181" s="91" t="str">
        <f t="array" ref="A181">IFERROR(INDEX('Annex 2 EHV charges'!$A$10:$A$259, MATCH(0, IF(ISBLANK('Annex 2 EHV charges'!$A$10:$A$259),1, COUNTIF(A$4:$A180, 'Annex 2 EHV charges'!$A$10:$A$259)), 0)),"")</f>
        <v/>
      </c>
      <c r="B181" s="91" t="str">
        <f>IF($A181="","",VLOOKUP($A181,'Annex 2 EHV charges'!$A:$O,2,0))</f>
        <v/>
      </c>
      <c r="C181" s="92" t="str">
        <f>IF($A181="","",VLOOKUP($A181,'Annex 2 EHV charges'!$A:$O,3,0))</f>
        <v/>
      </c>
      <c r="D181" s="91" t="str">
        <f>IF($A181="","",VLOOKUP($A181,'Annex 2 EHV charges'!$A:$O,7,0))</f>
        <v/>
      </c>
      <c r="E181" s="96" t="str">
        <f>IFERROR(IF(VLOOKUP($A181,'Annex 2 EHV charges'!$A:$O,8,FALSE)=0,"",VLOOKUP($A181,'Annex 2 EHV charges'!$A:$O,8,FALSE)),"")</f>
        <v/>
      </c>
      <c r="F181" s="97" t="str">
        <f>IFERROR(IF(VLOOKUP($A181,'Annex 2 EHV charges'!$A:$O,9,FALSE)=0,"",VLOOKUP($A181,'Annex 2 EHV charges'!$A:$O,9,FALSE)),"")</f>
        <v/>
      </c>
      <c r="G181" s="98" t="str">
        <f>IFERROR(IF(VLOOKUP($A181,'Annex 2 EHV charges'!$A:$O,10,FALSE)=0,"",VLOOKUP($A181,'Annex 2 EHV charges'!$A:$O,10,FALSE)),"")</f>
        <v/>
      </c>
      <c r="H181" s="98" t="str">
        <f>IFERROR(IF(VLOOKUP($A181,'Annex 2 EHV charges'!$A:$O,11,FALSE)=0,"",VLOOKUP($A181,'Annex 2 EHV charges'!$A:$O,11,FALSE)),"")</f>
        <v/>
      </c>
    </row>
    <row r="182" spans="1:8" x14ac:dyDescent="0.2">
      <c r="A182" s="91" t="str">
        <f t="array" ref="A182">IFERROR(INDEX('Annex 2 EHV charges'!$A$10:$A$259, MATCH(0, IF(ISBLANK('Annex 2 EHV charges'!$A$10:$A$259),1, COUNTIF(A$4:$A181, 'Annex 2 EHV charges'!$A$10:$A$259)), 0)),"")</f>
        <v/>
      </c>
      <c r="B182" s="91" t="str">
        <f>IF($A182="","",VLOOKUP($A182,'Annex 2 EHV charges'!$A:$O,2,0))</f>
        <v/>
      </c>
      <c r="C182" s="92" t="str">
        <f>IF($A182="","",VLOOKUP($A182,'Annex 2 EHV charges'!$A:$O,3,0))</f>
        <v/>
      </c>
      <c r="D182" s="91" t="str">
        <f>IF($A182="","",VLOOKUP($A182,'Annex 2 EHV charges'!$A:$O,7,0))</f>
        <v/>
      </c>
      <c r="E182" s="96" t="str">
        <f>IFERROR(IF(VLOOKUP($A182,'Annex 2 EHV charges'!$A:$O,8,FALSE)=0,"",VLOOKUP($A182,'Annex 2 EHV charges'!$A:$O,8,FALSE)),"")</f>
        <v/>
      </c>
      <c r="F182" s="97" t="str">
        <f>IFERROR(IF(VLOOKUP($A182,'Annex 2 EHV charges'!$A:$O,9,FALSE)=0,"",VLOOKUP($A182,'Annex 2 EHV charges'!$A:$O,9,FALSE)),"")</f>
        <v/>
      </c>
      <c r="G182" s="98" t="str">
        <f>IFERROR(IF(VLOOKUP($A182,'Annex 2 EHV charges'!$A:$O,10,FALSE)=0,"",VLOOKUP($A182,'Annex 2 EHV charges'!$A:$O,10,FALSE)),"")</f>
        <v/>
      </c>
      <c r="H182" s="98" t="str">
        <f>IFERROR(IF(VLOOKUP($A182,'Annex 2 EHV charges'!$A:$O,11,FALSE)=0,"",VLOOKUP($A182,'Annex 2 EHV charges'!$A:$O,11,FALSE)),"")</f>
        <v/>
      </c>
    </row>
    <row r="183" spans="1:8" x14ac:dyDescent="0.2">
      <c r="A183" s="91" t="str">
        <f t="array" ref="A183">IFERROR(INDEX('Annex 2 EHV charges'!$A$10:$A$259, MATCH(0, IF(ISBLANK('Annex 2 EHV charges'!$A$10:$A$259),1, COUNTIF(A$4:$A182, 'Annex 2 EHV charges'!$A$10:$A$259)), 0)),"")</f>
        <v/>
      </c>
      <c r="B183" s="91" t="str">
        <f>IF($A183="","",VLOOKUP($A183,'Annex 2 EHV charges'!$A:$O,2,0))</f>
        <v/>
      </c>
      <c r="C183" s="92" t="str">
        <f>IF($A183="","",VLOOKUP($A183,'Annex 2 EHV charges'!$A:$O,3,0))</f>
        <v/>
      </c>
      <c r="D183" s="91" t="str">
        <f>IF($A183="","",VLOOKUP($A183,'Annex 2 EHV charges'!$A:$O,7,0))</f>
        <v/>
      </c>
      <c r="E183" s="96" t="str">
        <f>IFERROR(IF(VLOOKUP($A183,'Annex 2 EHV charges'!$A:$O,8,FALSE)=0,"",VLOOKUP($A183,'Annex 2 EHV charges'!$A:$O,8,FALSE)),"")</f>
        <v/>
      </c>
      <c r="F183" s="97" t="str">
        <f>IFERROR(IF(VLOOKUP($A183,'Annex 2 EHV charges'!$A:$O,9,FALSE)=0,"",VLOOKUP($A183,'Annex 2 EHV charges'!$A:$O,9,FALSE)),"")</f>
        <v/>
      </c>
      <c r="G183" s="98" t="str">
        <f>IFERROR(IF(VLOOKUP($A183,'Annex 2 EHV charges'!$A:$O,10,FALSE)=0,"",VLOOKUP($A183,'Annex 2 EHV charges'!$A:$O,10,FALSE)),"")</f>
        <v/>
      </c>
      <c r="H183" s="98" t="str">
        <f>IFERROR(IF(VLOOKUP($A183,'Annex 2 EHV charges'!$A:$O,11,FALSE)=0,"",VLOOKUP($A183,'Annex 2 EHV charges'!$A:$O,11,FALSE)),"")</f>
        <v/>
      </c>
    </row>
    <row r="184" spans="1:8" x14ac:dyDescent="0.2">
      <c r="A184" s="91" t="str">
        <f t="array" ref="A184">IFERROR(INDEX('Annex 2 EHV charges'!$A$10:$A$259, MATCH(0, IF(ISBLANK('Annex 2 EHV charges'!$A$10:$A$259),1, COUNTIF(A$4:$A183, 'Annex 2 EHV charges'!$A$10:$A$259)), 0)),"")</f>
        <v/>
      </c>
      <c r="B184" s="91" t="str">
        <f>IF($A184="","",VLOOKUP($A184,'Annex 2 EHV charges'!$A:$O,2,0))</f>
        <v/>
      </c>
      <c r="C184" s="92" t="str">
        <f>IF($A184="","",VLOOKUP($A184,'Annex 2 EHV charges'!$A:$O,3,0))</f>
        <v/>
      </c>
      <c r="D184" s="91" t="str">
        <f>IF($A184="","",VLOOKUP($A184,'Annex 2 EHV charges'!$A:$O,7,0))</f>
        <v/>
      </c>
      <c r="E184" s="96" t="str">
        <f>IFERROR(IF(VLOOKUP($A184,'Annex 2 EHV charges'!$A:$O,8,FALSE)=0,"",VLOOKUP($A184,'Annex 2 EHV charges'!$A:$O,8,FALSE)),"")</f>
        <v/>
      </c>
      <c r="F184" s="97" t="str">
        <f>IFERROR(IF(VLOOKUP($A184,'Annex 2 EHV charges'!$A:$O,9,FALSE)=0,"",VLOOKUP($A184,'Annex 2 EHV charges'!$A:$O,9,FALSE)),"")</f>
        <v/>
      </c>
      <c r="G184" s="98" t="str">
        <f>IFERROR(IF(VLOOKUP($A184,'Annex 2 EHV charges'!$A:$O,10,FALSE)=0,"",VLOOKUP($A184,'Annex 2 EHV charges'!$A:$O,10,FALSE)),"")</f>
        <v/>
      </c>
      <c r="H184" s="98" t="str">
        <f>IFERROR(IF(VLOOKUP($A184,'Annex 2 EHV charges'!$A:$O,11,FALSE)=0,"",VLOOKUP($A184,'Annex 2 EHV charges'!$A:$O,11,FALSE)),"")</f>
        <v/>
      </c>
    </row>
    <row r="185" spans="1:8" x14ac:dyDescent="0.2">
      <c r="A185" s="91" t="str">
        <f t="array" ref="A185">IFERROR(INDEX('Annex 2 EHV charges'!$A$10:$A$259, MATCH(0, IF(ISBLANK('Annex 2 EHV charges'!$A$10:$A$259),1, COUNTIF(A$4:$A184, 'Annex 2 EHV charges'!$A$10:$A$259)), 0)),"")</f>
        <v/>
      </c>
      <c r="B185" s="91" t="str">
        <f>IF($A185="","",VLOOKUP($A185,'Annex 2 EHV charges'!$A:$O,2,0))</f>
        <v/>
      </c>
      <c r="C185" s="92" t="str">
        <f>IF($A185="","",VLOOKUP($A185,'Annex 2 EHV charges'!$A:$O,3,0))</f>
        <v/>
      </c>
      <c r="D185" s="91" t="str">
        <f>IF($A185="","",VLOOKUP($A185,'Annex 2 EHV charges'!$A:$O,7,0))</f>
        <v/>
      </c>
      <c r="E185" s="96" t="str">
        <f>IFERROR(IF(VLOOKUP($A185,'Annex 2 EHV charges'!$A:$O,8,FALSE)=0,"",VLOOKUP($A185,'Annex 2 EHV charges'!$A:$O,8,FALSE)),"")</f>
        <v/>
      </c>
      <c r="F185" s="97" t="str">
        <f>IFERROR(IF(VLOOKUP($A185,'Annex 2 EHV charges'!$A:$O,9,FALSE)=0,"",VLOOKUP($A185,'Annex 2 EHV charges'!$A:$O,9,FALSE)),"")</f>
        <v/>
      </c>
      <c r="G185" s="98" t="str">
        <f>IFERROR(IF(VLOOKUP($A185,'Annex 2 EHV charges'!$A:$O,10,FALSE)=0,"",VLOOKUP($A185,'Annex 2 EHV charges'!$A:$O,10,FALSE)),"")</f>
        <v/>
      </c>
      <c r="H185" s="98" t="str">
        <f>IFERROR(IF(VLOOKUP($A185,'Annex 2 EHV charges'!$A:$O,11,FALSE)=0,"",VLOOKUP($A185,'Annex 2 EHV charges'!$A:$O,11,FALSE)),"")</f>
        <v/>
      </c>
    </row>
    <row r="186" spans="1:8" x14ac:dyDescent="0.2">
      <c r="A186" s="91" t="str">
        <f t="array" ref="A186">IFERROR(INDEX('Annex 2 EHV charges'!$A$10:$A$259, MATCH(0, IF(ISBLANK('Annex 2 EHV charges'!$A$10:$A$259),1, COUNTIF(A$4:$A185, 'Annex 2 EHV charges'!$A$10:$A$259)), 0)),"")</f>
        <v/>
      </c>
      <c r="B186" s="91" t="str">
        <f>IF($A186="","",VLOOKUP($A186,'Annex 2 EHV charges'!$A:$O,2,0))</f>
        <v/>
      </c>
      <c r="C186" s="92" t="str">
        <f>IF($A186="","",VLOOKUP($A186,'Annex 2 EHV charges'!$A:$O,3,0))</f>
        <v/>
      </c>
      <c r="D186" s="91" t="str">
        <f>IF($A186="","",VLOOKUP($A186,'Annex 2 EHV charges'!$A:$O,7,0))</f>
        <v/>
      </c>
      <c r="E186" s="96" t="str">
        <f>IFERROR(IF(VLOOKUP($A186,'Annex 2 EHV charges'!$A:$O,8,FALSE)=0,"",VLOOKUP($A186,'Annex 2 EHV charges'!$A:$O,8,FALSE)),"")</f>
        <v/>
      </c>
      <c r="F186" s="97" t="str">
        <f>IFERROR(IF(VLOOKUP($A186,'Annex 2 EHV charges'!$A:$O,9,FALSE)=0,"",VLOOKUP($A186,'Annex 2 EHV charges'!$A:$O,9,FALSE)),"")</f>
        <v/>
      </c>
      <c r="G186" s="98" t="str">
        <f>IFERROR(IF(VLOOKUP($A186,'Annex 2 EHV charges'!$A:$O,10,FALSE)=0,"",VLOOKUP($A186,'Annex 2 EHV charges'!$A:$O,10,FALSE)),"")</f>
        <v/>
      </c>
      <c r="H186" s="98" t="str">
        <f>IFERROR(IF(VLOOKUP($A186,'Annex 2 EHV charges'!$A:$O,11,FALSE)=0,"",VLOOKUP($A186,'Annex 2 EHV charges'!$A:$O,11,FALSE)),"")</f>
        <v/>
      </c>
    </row>
    <row r="187" spans="1:8" x14ac:dyDescent="0.2">
      <c r="A187" s="91" t="str">
        <f t="array" ref="A187">IFERROR(INDEX('Annex 2 EHV charges'!$A$10:$A$259, MATCH(0, IF(ISBLANK('Annex 2 EHV charges'!$A$10:$A$259),1, COUNTIF(A$4:$A186, 'Annex 2 EHV charges'!$A$10:$A$259)), 0)),"")</f>
        <v/>
      </c>
      <c r="B187" s="91" t="str">
        <f>IF($A187="","",VLOOKUP($A187,'Annex 2 EHV charges'!$A:$O,2,0))</f>
        <v/>
      </c>
      <c r="C187" s="92" t="str">
        <f>IF($A187="","",VLOOKUP($A187,'Annex 2 EHV charges'!$A:$O,3,0))</f>
        <v/>
      </c>
      <c r="D187" s="91" t="str">
        <f>IF($A187="","",VLOOKUP($A187,'Annex 2 EHV charges'!$A:$O,7,0))</f>
        <v/>
      </c>
      <c r="E187" s="96" t="str">
        <f>IFERROR(IF(VLOOKUP($A187,'Annex 2 EHV charges'!$A:$O,8,FALSE)=0,"",VLOOKUP($A187,'Annex 2 EHV charges'!$A:$O,8,FALSE)),"")</f>
        <v/>
      </c>
      <c r="F187" s="97" t="str">
        <f>IFERROR(IF(VLOOKUP($A187,'Annex 2 EHV charges'!$A:$O,9,FALSE)=0,"",VLOOKUP($A187,'Annex 2 EHV charges'!$A:$O,9,FALSE)),"")</f>
        <v/>
      </c>
      <c r="G187" s="98" t="str">
        <f>IFERROR(IF(VLOOKUP($A187,'Annex 2 EHV charges'!$A:$O,10,FALSE)=0,"",VLOOKUP($A187,'Annex 2 EHV charges'!$A:$O,10,FALSE)),"")</f>
        <v/>
      </c>
      <c r="H187" s="98" t="str">
        <f>IFERROR(IF(VLOOKUP($A187,'Annex 2 EHV charges'!$A:$O,11,FALSE)=0,"",VLOOKUP($A187,'Annex 2 EHV charges'!$A:$O,11,FALSE)),"")</f>
        <v/>
      </c>
    </row>
    <row r="188" spans="1:8" x14ac:dyDescent="0.2">
      <c r="A188" s="91" t="str">
        <f t="array" ref="A188">IFERROR(INDEX('Annex 2 EHV charges'!$A$10:$A$259, MATCH(0, IF(ISBLANK('Annex 2 EHV charges'!$A$10:$A$259),1, COUNTIF(A$4:$A187, 'Annex 2 EHV charges'!$A$10:$A$259)), 0)),"")</f>
        <v/>
      </c>
      <c r="B188" s="91" t="str">
        <f>IF($A188="","",VLOOKUP($A188,'Annex 2 EHV charges'!$A:$O,2,0))</f>
        <v/>
      </c>
      <c r="C188" s="92" t="str">
        <f>IF($A188="","",VLOOKUP($A188,'Annex 2 EHV charges'!$A:$O,3,0))</f>
        <v/>
      </c>
      <c r="D188" s="91" t="str">
        <f>IF($A188="","",VLOOKUP($A188,'Annex 2 EHV charges'!$A:$O,7,0))</f>
        <v/>
      </c>
      <c r="E188" s="96" t="str">
        <f>IFERROR(IF(VLOOKUP($A188,'Annex 2 EHV charges'!$A:$O,8,FALSE)=0,"",VLOOKUP($A188,'Annex 2 EHV charges'!$A:$O,8,FALSE)),"")</f>
        <v/>
      </c>
      <c r="F188" s="97" t="str">
        <f>IFERROR(IF(VLOOKUP($A188,'Annex 2 EHV charges'!$A:$O,9,FALSE)=0,"",VLOOKUP($A188,'Annex 2 EHV charges'!$A:$O,9,FALSE)),"")</f>
        <v/>
      </c>
      <c r="G188" s="98" t="str">
        <f>IFERROR(IF(VLOOKUP($A188,'Annex 2 EHV charges'!$A:$O,10,FALSE)=0,"",VLOOKUP($A188,'Annex 2 EHV charges'!$A:$O,10,FALSE)),"")</f>
        <v/>
      </c>
      <c r="H188" s="98" t="str">
        <f>IFERROR(IF(VLOOKUP($A188,'Annex 2 EHV charges'!$A:$O,11,FALSE)=0,"",VLOOKUP($A188,'Annex 2 EHV charges'!$A:$O,11,FALSE)),"")</f>
        <v/>
      </c>
    </row>
    <row r="189" spans="1:8" x14ac:dyDescent="0.2">
      <c r="A189" s="91" t="str">
        <f t="array" ref="A189">IFERROR(INDEX('Annex 2 EHV charges'!$A$10:$A$259, MATCH(0, IF(ISBLANK('Annex 2 EHV charges'!$A$10:$A$259),1, COUNTIF(A$4:$A188, 'Annex 2 EHV charges'!$A$10:$A$259)), 0)),"")</f>
        <v/>
      </c>
      <c r="B189" s="91" t="str">
        <f>IF($A189="","",VLOOKUP($A189,'Annex 2 EHV charges'!$A:$O,2,0))</f>
        <v/>
      </c>
      <c r="C189" s="92" t="str">
        <f>IF($A189="","",VLOOKUP($A189,'Annex 2 EHV charges'!$A:$O,3,0))</f>
        <v/>
      </c>
      <c r="D189" s="91" t="str">
        <f>IF($A189="","",VLOOKUP($A189,'Annex 2 EHV charges'!$A:$O,7,0))</f>
        <v/>
      </c>
      <c r="E189" s="96" t="str">
        <f>IFERROR(IF(VLOOKUP($A189,'Annex 2 EHV charges'!$A:$O,8,FALSE)=0,"",VLOOKUP($A189,'Annex 2 EHV charges'!$A:$O,8,FALSE)),"")</f>
        <v/>
      </c>
      <c r="F189" s="97" t="str">
        <f>IFERROR(IF(VLOOKUP($A189,'Annex 2 EHV charges'!$A:$O,9,FALSE)=0,"",VLOOKUP($A189,'Annex 2 EHV charges'!$A:$O,9,FALSE)),"")</f>
        <v/>
      </c>
      <c r="G189" s="98" t="str">
        <f>IFERROR(IF(VLOOKUP($A189,'Annex 2 EHV charges'!$A:$O,10,FALSE)=0,"",VLOOKUP($A189,'Annex 2 EHV charges'!$A:$O,10,FALSE)),"")</f>
        <v/>
      </c>
      <c r="H189" s="98" t="str">
        <f>IFERROR(IF(VLOOKUP($A189,'Annex 2 EHV charges'!$A:$O,11,FALSE)=0,"",VLOOKUP($A189,'Annex 2 EHV charges'!$A:$O,11,FALSE)),"")</f>
        <v/>
      </c>
    </row>
    <row r="190" spans="1:8" x14ac:dyDescent="0.2">
      <c r="A190" s="91" t="str">
        <f t="array" ref="A190">IFERROR(INDEX('Annex 2 EHV charges'!$A$10:$A$259, MATCH(0, IF(ISBLANK('Annex 2 EHV charges'!$A$10:$A$259),1, COUNTIF(A$4:$A189, 'Annex 2 EHV charges'!$A$10:$A$259)), 0)),"")</f>
        <v/>
      </c>
      <c r="B190" s="91" t="str">
        <f>IF($A190="","",VLOOKUP($A190,'Annex 2 EHV charges'!$A:$O,2,0))</f>
        <v/>
      </c>
      <c r="C190" s="92" t="str">
        <f>IF($A190="","",VLOOKUP($A190,'Annex 2 EHV charges'!$A:$O,3,0))</f>
        <v/>
      </c>
      <c r="D190" s="91" t="str">
        <f>IF($A190="","",VLOOKUP($A190,'Annex 2 EHV charges'!$A:$O,7,0))</f>
        <v/>
      </c>
      <c r="E190" s="96" t="str">
        <f>IFERROR(IF(VLOOKUP($A190,'Annex 2 EHV charges'!$A:$O,8,FALSE)=0,"",VLOOKUP($A190,'Annex 2 EHV charges'!$A:$O,8,FALSE)),"")</f>
        <v/>
      </c>
      <c r="F190" s="97" t="str">
        <f>IFERROR(IF(VLOOKUP($A190,'Annex 2 EHV charges'!$A:$O,9,FALSE)=0,"",VLOOKUP($A190,'Annex 2 EHV charges'!$A:$O,9,FALSE)),"")</f>
        <v/>
      </c>
      <c r="G190" s="98" t="str">
        <f>IFERROR(IF(VLOOKUP($A190,'Annex 2 EHV charges'!$A:$O,10,FALSE)=0,"",VLOOKUP($A190,'Annex 2 EHV charges'!$A:$O,10,FALSE)),"")</f>
        <v/>
      </c>
      <c r="H190" s="98" t="str">
        <f>IFERROR(IF(VLOOKUP($A190,'Annex 2 EHV charges'!$A:$O,11,FALSE)=0,"",VLOOKUP($A190,'Annex 2 EHV charges'!$A:$O,11,FALSE)),"")</f>
        <v/>
      </c>
    </row>
    <row r="191" spans="1:8" x14ac:dyDescent="0.2">
      <c r="A191" s="91" t="str">
        <f t="array" ref="A191">IFERROR(INDEX('Annex 2 EHV charges'!$A$10:$A$259, MATCH(0, IF(ISBLANK('Annex 2 EHV charges'!$A$10:$A$259),1, COUNTIF(A$4:$A190, 'Annex 2 EHV charges'!$A$10:$A$259)), 0)),"")</f>
        <v/>
      </c>
      <c r="B191" s="91" t="str">
        <f>IF($A191="","",VLOOKUP($A191,'Annex 2 EHV charges'!$A:$O,2,0))</f>
        <v/>
      </c>
      <c r="C191" s="92" t="str">
        <f>IF($A191="","",VLOOKUP($A191,'Annex 2 EHV charges'!$A:$O,3,0))</f>
        <v/>
      </c>
      <c r="D191" s="91" t="str">
        <f>IF($A191="","",VLOOKUP($A191,'Annex 2 EHV charges'!$A:$O,7,0))</f>
        <v/>
      </c>
      <c r="E191" s="96" t="str">
        <f>IFERROR(IF(VLOOKUP($A191,'Annex 2 EHV charges'!$A:$O,8,FALSE)=0,"",VLOOKUP($A191,'Annex 2 EHV charges'!$A:$O,8,FALSE)),"")</f>
        <v/>
      </c>
      <c r="F191" s="97" t="str">
        <f>IFERROR(IF(VLOOKUP($A191,'Annex 2 EHV charges'!$A:$O,9,FALSE)=0,"",VLOOKUP($A191,'Annex 2 EHV charges'!$A:$O,9,FALSE)),"")</f>
        <v/>
      </c>
      <c r="G191" s="98" t="str">
        <f>IFERROR(IF(VLOOKUP($A191,'Annex 2 EHV charges'!$A:$O,10,FALSE)=0,"",VLOOKUP($A191,'Annex 2 EHV charges'!$A:$O,10,FALSE)),"")</f>
        <v/>
      </c>
      <c r="H191" s="98" t="str">
        <f>IFERROR(IF(VLOOKUP($A191,'Annex 2 EHV charges'!$A:$O,11,FALSE)=0,"",VLOOKUP($A191,'Annex 2 EHV charges'!$A:$O,11,FALSE)),"")</f>
        <v/>
      </c>
    </row>
    <row r="192" spans="1:8" x14ac:dyDescent="0.2">
      <c r="A192" s="91" t="str">
        <f t="array" ref="A192">IFERROR(INDEX('Annex 2 EHV charges'!$A$10:$A$259, MATCH(0, IF(ISBLANK('Annex 2 EHV charges'!$A$10:$A$259),1, COUNTIF(A$4:$A191, 'Annex 2 EHV charges'!$A$10:$A$259)), 0)),"")</f>
        <v/>
      </c>
      <c r="B192" s="91" t="str">
        <f>IF($A192="","",VLOOKUP($A192,'Annex 2 EHV charges'!$A:$O,2,0))</f>
        <v/>
      </c>
      <c r="C192" s="92" t="str">
        <f>IF($A192="","",VLOOKUP($A192,'Annex 2 EHV charges'!$A:$O,3,0))</f>
        <v/>
      </c>
      <c r="D192" s="91" t="str">
        <f>IF($A192="","",VLOOKUP($A192,'Annex 2 EHV charges'!$A:$O,7,0))</f>
        <v/>
      </c>
      <c r="E192" s="96" t="str">
        <f>IFERROR(IF(VLOOKUP($A192,'Annex 2 EHV charges'!$A:$O,8,FALSE)=0,"",VLOOKUP($A192,'Annex 2 EHV charges'!$A:$O,8,FALSE)),"")</f>
        <v/>
      </c>
      <c r="F192" s="97" t="str">
        <f>IFERROR(IF(VLOOKUP($A192,'Annex 2 EHV charges'!$A:$O,9,FALSE)=0,"",VLOOKUP($A192,'Annex 2 EHV charges'!$A:$O,9,FALSE)),"")</f>
        <v/>
      </c>
      <c r="G192" s="98" t="str">
        <f>IFERROR(IF(VLOOKUP($A192,'Annex 2 EHV charges'!$A:$O,10,FALSE)=0,"",VLOOKUP($A192,'Annex 2 EHV charges'!$A:$O,10,FALSE)),"")</f>
        <v/>
      </c>
      <c r="H192" s="98" t="str">
        <f>IFERROR(IF(VLOOKUP($A192,'Annex 2 EHV charges'!$A:$O,11,FALSE)=0,"",VLOOKUP($A192,'Annex 2 EHV charges'!$A:$O,11,FALSE)),"")</f>
        <v/>
      </c>
    </row>
    <row r="193" spans="1:8" x14ac:dyDescent="0.2">
      <c r="A193" s="91" t="str">
        <f t="array" ref="A193">IFERROR(INDEX('Annex 2 EHV charges'!$A$10:$A$259, MATCH(0, IF(ISBLANK('Annex 2 EHV charges'!$A$10:$A$259),1, COUNTIF(A$4:$A192, 'Annex 2 EHV charges'!$A$10:$A$259)), 0)),"")</f>
        <v/>
      </c>
      <c r="B193" s="91" t="str">
        <f>IF($A193="","",VLOOKUP($A193,'Annex 2 EHV charges'!$A:$O,2,0))</f>
        <v/>
      </c>
      <c r="C193" s="92" t="str">
        <f>IF($A193="","",VLOOKUP($A193,'Annex 2 EHV charges'!$A:$O,3,0))</f>
        <v/>
      </c>
      <c r="D193" s="91" t="str">
        <f>IF($A193="","",VLOOKUP($A193,'Annex 2 EHV charges'!$A:$O,7,0))</f>
        <v/>
      </c>
      <c r="E193" s="96" t="str">
        <f>IFERROR(IF(VLOOKUP($A193,'Annex 2 EHV charges'!$A:$O,8,FALSE)=0,"",VLOOKUP($A193,'Annex 2 EHV charges'!$A:$O,8,FALSE)),"")</f>
        <v/>
      </c>
      <c r="F193" s="97" t="str">
        <f>IFERROR(IF(VLOOKUP($A193,'Annex 2 EHV charges'!$A:$O,9,FALSE)=0,"",VLOOKUP($A193,'Annex 2 EHV charges'!$A:$O,9,FALSE)),"")</f>
        <v/>
      </c>
      <c r="G193" s="98" t="str">
        <f>IFERROR(IF(VLOOKUP($A193,'Annex 2 EHV charges'!$A:$O,10,FALSE)=0,"",VLOOKUP($A193,'Annex 2 EHV charges'!$A:$O,10,FALSE)),"")</f>
        <v/>
      </c>
      <c r="H193" s="98" t="str">
        <f>IFERROR(IF(VLOOKUP($A193,'Annex 2 EHV charges'!$A:$O,11,FALSE)=0,"",VLOOKUP($A193,'Annex 2 EHV charges'!$A:$O,11,FALSE)),"")</f>
        <v/>
      </c>
    </row>
    <row r="194" spans="1:8" x14ac:dyDescent="0.2">
      <c r="A194" s="91" t="str">
        <f t="array" ref="A194">IFERROR(INDEX('Annex 2 EHV charges'!$A$10:$A$259, MATCH(0, IF(ISBLANK('Annex 2 EHV charges'!$A$10:$A$259),1, COUNTIF(A$4:$A193, 'Annex 2 EHV charges'!$A$10:$A$259)), 0)),"")</f>
        <v/>
      </c>
      <c r="B194" s="91" t="str">
        <f>IF($A194="","",VLOOKUP($A194,'Annex 2 EHV charges'!$A:$O,2,0))</f>
        <v/>
      </c>
      <c r="C194" s="92" t="str">
        <f>IF($A194="","",VLOOKUP($A194,'Annex 2 EHV charges'!$A:$O,3,0))</f>
        <v/>
      </c>
      <c r="D194" s="91" t="str">
        <f>IF($A194="","",VLOOKUP($A194,'Annex 2 EHV charges'!$A:$O,7,0))</f>
        <v/>
      </c>
      <c r="E194" s="96" t="str">
        <f>IFERROR(IF(VLOOKUP($A194,'Annex 2 EHV charges'!$A:$O,8,FALSE)=0,"",VLOOKUP($A194,'Annex 2 EHV charges'!$A:$O,8,FALSE)),"")</f>
        <v/>
      </c>
      <c r="F194" s="97" t="str">
        <f>IFERROR(IF(VLOOKUP($A194,'Annex 2 EHV charges'!$A:$O,9,FALSE)=0,"",VLOOKUP($A194,'Annex 2 EHV charges'!$A:$O,9,FALSE)),"")</f>
        <v/>
      </c>
      <c r="G194" s="98" t="str">
        <f>IFERROR(IF(VLOOKUP($A194,'Annex 2 EHV charges'!$A:$O,10,FALSE)=0,"",VLOOKUP($A194,'Annex 2 EHV charges'!$A:$O,10,FALSE)),"")</f>
        <v/>
      </c>
      <c r="H194" s="98" t="str">
        <f>IFERROR(IF(VLOOKUP($A194,'Annex 2 EHV charges'!$A:$O,11,FALSE)=0,"",VLOOKUP($A194,'Annex 2 EHV charges'!$A:$O,11,FALSE)),"")</f>
        <v/>
      </c>
    </row>
    <row r="195" spans="1:8" x14ac:dyDescent="0.2">
      <c r="A195" s="91" t="str">
        <f t="array" ref="A195">IFERROR(INDEX('Annex 2 EHV charges'!$A$10:$A$259, MATCH(0, IF(ISBLANK('Annex 2 EHV charges'!$A$10:$A$259),1, COUNTIF(A$4:$A194, 'Annex 2 EHV charges'!$A$10:$A$259)), 0)),"")</f>
        <v/>
      </c>
      <c r="B195" s="91" t="str">
        <f>IF($A195="","",VLOOKUP($A195,'Annex 2 EHV charges'!$A:$O,2,0))</f>
        <v/>
      </c>
      <c r="C195" s="92" t="str">
        <f>IF($A195="","",VLOOKUP($A195,'Annex 2 EHV charges'!$A:$O,3,0))</f>
        <v/>
      </c>
      <c r="D195" s="91" t="str">
        <f>IF($A195="","",VLOOKUP($A195,'Annex 2 EHV charges'!$A:$O,7,0))</f>
        <v/>
      </c>
      <c r="E195" s="96" t="str">
        <f>IFERROR(IF(VLOOKUP($A195,'Annex 2 EHV charges'!$A:$O,8,FALSE)=0,"",VLOOKUP($A195,'Annex 2 EHV charges'!$A:$O,8,FALSE)),"")</f>
        <v/>
      </c>
      <c r="F195" s="97" t="str">
        <f>IFERROR(IF(VLOOKUP($A195,'Annex 2 EHV charges'!$A:$O,9,FALSE)=0,"",VLOOKUP($A195,'Annex 2 EHV charges'!$A:$O,9,FALSE)),"")</f>
        <v/>
      </c>
      <c r="G195" s="98" t="str">
        <f>IFERROR(IF(VLOOKUP($A195,'Annex 2 EHV charges'!$A:$O,10,FALSE)=0,"",VLOOKUP($A195,'Annex 2 EHV charges'!$A:$O,10,FALSE)),"")</f>
        <v/>
      </c>
      <c r="H195" s="98" t="str">
        <f>IFERROR(IF(VLOOKUP($A195,'Annex 2 EHV charges'!$A:$O,11,FALSE)=0,"",VLOOKUP($A195,'Annex 2 EHV charges'!$A:$O,11,FALSE)),"")</f>
        <v/>
      </c>
    </row>
    <row r="196" spans="1:8" x14ac:dyDescent="0.2">
      <c r="A196" s="91" t="str">
        <f t="array" ref="A196">IFERROR(INDEX('Annex 2 EHV charges'!$A$10:$A$259, MATCH(0, IF(ISBLANK('Annex 2 EHV charges'!$A$10:$A$259),1, COUNTIF(A$4:$A195, 'Annex 2 EHV charges'!$A$10:$A$259)), 0)),"")</f>
        <v/>
      </c>
      <c r="B196" s="91" t="str">
        <f>IF($A196="","",VLOOKUP($A196,'Annex 2 EHV charges'!$A:$O,2,0))</f>
        <v/>
      </c>
      <c r="C196" s="92" t="str">
        <f>IF($A196="","",VLOOKUP($A196,'Annex 2 EHV charges'!$A:$O,3,0))</f>
        <v/>
      </c>
      <c r="D196" s="91" t="str">
        <f>IF($A196="","",VLOOKUP($A196,'Annex 2 EHV charges'!$A:$O,7,0))</f>
        <v/>
      </c>
      <c r="E196" s="96" t="str">
        <f>IFERROR(IF(VLOOKUP($A196,'Annex 2 EHV charges'!$A:$O,8,FALSE)=0,"",VLOOKUP($A196,'Annex 2 EHV charges'!$A:$O,8,FALSE)),"")</f>
        <v/>
      </c>
      <c r="F196" s="97" t="str">
        <f>IFERROR(IF(VLOOKUP($A196,'Annex 2 EHV charges'!$A:$O,9,FALSE)=0,"",VLOOKUP($A196,'Annex 2 EHV charges'!$A:$O,9,FALSE)),"")</f>
        <v/>
      </c>
      <c r="G196" s="98" t="str">
        <f>IFERROR(IF(VLOOKUP($A196,'Annex 2 EHV charges'!$A:$O,10,FALSE)=0,"",VLOOKUP($A196,'Annex 2 EHV charges'!$A:$O,10,FALSE)),"")</f>
        <v/>
      </c>
      <c r="H196" s="98" t="str">
        <f>IFERROR(IF(VLOOKUP($A196,'Annex 2 EHV charges'!$A:$O,11,FALSE)=0,"",VLOOKUP($A196,'Annex 2 EHV charges'!$A:$O,11,FALSE)),"")</f>
        <v/>
      </c>
    </row>
    <row r="197" spans="1:8" x14ac:dyDescent="0.2">
      <c r="A197" s="91" t="str">
        <f t="array" ref="A197">IFERROR(INDEX('Annex 2 EHV charges'!$A$10:$A$259, MATCH(0, IF(ISBLANK('Annex 2 EHV charges'!$A$10:$A$259),1, COUNTIF(A$4:$A196, 'Annex 2 EHV charges'!$A$10:$A$259)), 0)),"")</f>
        <v/>
      </c>
      <c r="B197" s="91" t="str">
        <f>IF($A197="","",VLOOKUP($A197,'Annex 2 EHV charges'!$A:$O,2,0))</f>
        <v/>
      </c>
      <c r="C197" s="92" t="str">
        <f>IF($A197="","",VLOOKUP($A197,'Annex 2 EHV charges'!$A:$O,3,0))</f>
        <v/>
      </c>
      <c r="D197" s="91" t="str">
        <f>IF($A197="","",VLOOKUP($A197,'Annex 2 EHV charges'!$A:$O,7,0))</f>
        <v/>
      </c>
      <c r="E197" s="96" t="str">
        <f>IFERROR(IF(VLOOKUP($A197,'Annex 2 EHV charges'!$A:$O,8,FALSE)=0,"",VLOOKUP($A197,'Annex 2 EHV charges'!$A:$O,8,FALSE)),"")</f>
        <v/>
      </c>
      <c r="F197" s="97" t="str">
        <f>IFERROR(IF(VLOOKUP($A197,'Annex 2 EHV charges'!$A:$O,9,FALSE)=0,"",VLOOKUP($A197,'Annex 2 EHV charges'!$A:$O,9,FALSE)),"")</f>
        <v/>
      </c>
      <c r="G197" s="98" t="str">
        <f>IFERROR(IF(VLOOKUP($A197,'Annex 2 EHV charges'!$A:$O,10,FALSE)=0,"",VLOOKUP($A197,'Annex 2 EHV charges'!$A:$O,10,FALSE)),"")</f>
        <v/>
      </c>
      <c r="H197" s="98" t="str">
        <f>IFERROR(IF(VLOOKUP($A197,'Annex 2 EHV charges'!$A:$O,11,FALSE)=0,"",VLOOKUP($A197,'Annex 2 EHV charges'!$A:$O,11,FALSE)),"")</f>
        <v/>
      </c>
    </row>
    <row r="198" spans="1:8" x14ac:dyDescent="0.2">
      <c r="A198" s="91" t="str">
        <f t="array" ref="A198">IFERROR(INDEX('Annex 2 EHV charges'!$A$10:$A$259, MATCH(0, IF(ISBLANK('Annex 2 EHV charges'!$A$10:$A$259),1, COUNTIF(A$4:$A197, 'Annex 2 EHV charges'!$A$10:$A$259)), 0)),"")</f>
        <v/>
      </c>
      <c r="B198" s="91" t="str">
        <f>IF($A198="","",VLOOKUP($A198,'Annex 2 EHV charges'!$A:$O,2,0))</f>
        <v/>
      </c>
      <c r="C198" s="92" t="str">
        <f>IF($A198="","",VLOOKUP($A198,'Annex 2 EHV charges'!$A:$O,3,0))</f>
        <v/>
      </c>
      <c r="D198" s="91" t="str">
        <f>IF($A198="","",VLOOKUP($A198,'Annex 2 EHV charges'!$A:$O,7,0))</f>
        <v/>
      </c>
      <c r="E198" s="96" t="str">
        <f>IFERROR(IF(VLOOKUP($A198,'Annex 2 EHV charges'!$A:$O,8,FALSE)=0,"",VLOOKUP($A198,'Annex 2 EHV charges'!$A:$O,8,FALSE)),"")</f>
        <v/>
      </c>
      <c r="F198" s="97" t="str">
        <f>IFERROR(IF(VLOOKUP($A198,'Annex 2 EHV charges'!$A:$O,9,FALSE)=0,"",VLOOKUP($A198,'Annex 2 EHV charges'!$A:$O,9,FALSE)),"")</f>
        <v/>
      </c>
      <c r="G198" s="98" t="str">
        <f>IFERROR(IF(VLOOKUP($A198,'Annex 2 EHV charges'!$A:$O,10,FALSE)=0,"",VLOOKUP($A198,'Annex 2 EHV charges'!$A:$O,10,FALSE)),"")</f>
        <v/>
      </c>
      <c r="H198" s="98" t="str">
        <f>IFERROR(IF(VLOOKUP($A198,'Annex 2 EHV charges'!$A:$O,11,FALSE)=0,"",VLOOKUP($A198,'Annex 2 EHV charges'!$A:$O,11,FALSE)),"")</f>
        <v/>
      </c>
    </row>
    <row r="199" spans="1:8" x14ac:dyDescent="0.2">
      <c r="A199" s="91" t="str">
        <f t="array" ref="A199">IFERROR(INDEX('Annex 2 EHV charges'!$A$10:$A$259, MATCH(0, IF(ISBLANK('Annex 2 EHV charges'!$A$10:$A$259),1, COUNTIF(A$4:$A198, 'Annex 2 EHV charges'!$A$10:$A$259)), 0)),"")</f>
        <v/>
      </c>
      <c r="B199" s="91" t="str">
        <f>IF($A199="","",VLOOKUP($A199,'Annex 2 EHV charges'!$A:$O,2,0))</f>
        <v/>
      </c>
      <c r="C199" s="92" t="str">
        <f>IF($A199="","",VLOOKUP($A199,'Annex 2 EHV charges'!$A:$O,3,0))</f>
        <v/>
      </c>
      <c r="D199" s="91" t="str">
        <f>IF($A199="","",VLOOKUP($A199,'Annex 2 EHV charges'!$A:$O,7,0))</f>
        <v/>
      </c>
      <c r="E199" s="96" t="str">
        <f>IFERROR(IF(VLOOKUP($A199,'Annex 2 EHV charges'!$A:$O,8,FALSE)=0,"",VLOOKUP($A199,'Annex 2 EHV charges'!$A:$O,8,FALSE)),"")</f>
        <v/>
      </c>
      <c r="F199" s="97" t="str">
        <f>IFERROR(IF(VLOOKUP($A199,'Annex 2 EHV charges'!$A:$O,9,FALSE)=0,"",VLOOKUP($A199,'Annex 2 EHV charges'!$A:$O,9,FALSE)),"")</f>
        <v/>
      </c>
      <c r="G199" s="98" t="str">
        <f>IFERROR(IF(VLOOKUP($A199,'Annex 2 EHV charges'!$A:$O,10,FALSE)=0,"",VLOOKUP($A199,'Annex 2 EHV charges'!$A:$O,10,FALSE)),"")</f>
        <v/>
      </c>
      <c r="H199" s="98" t="str">
        <f>IFERROR(IF(VLOOKUP($A199,'Annex 2 EHV charges'!$A:$O,11,FALSE)=0,"",VLOOKUP($A199,'Annex 2 EHV charges'!$A:$O,11,FALSE)),"")</f>
        <v/>
      </c>
    </row>
    <row r="200" spans="1:8" x14ac:dyDescent="0.2">
      <c r="A200" s="91" t="str">
        <f t="array" ref="A200">IFERROR(INDEX('Annex 2 EHV charges'!$A$10:$A$259, MATCH(0, IF(ISBLANK('Annex 2 EHV charges'!$A$10:$A$259),1, COUNTIF(A$4:$A199, 'Annex 2 EHV charges'!$A$10:$A$259)), 0)),"")</f>
        <v/>
      </c>
      <c r="B200" s="91" t="str">
        <f>IF($A200="","",VLOOKUP($A200,'Annex 2 EHV charges'!$A:$O,2,0))</f>
        <v/>
      </c>
      <c r="C200" s="92" t="str">
        <f>IF($A200="","",VLOOKUP($A200,'Annex 2 EHV charges'!$A:$O,3,0))</f>
        <v/>
      </c>
      <c r="D200" s="91" t="str">
        <f>IF($A200="","",VLOOKUP($A200,'Annex 2 EHV charges'!$A:$O,7,0))</f>
        <v/>
      </c>
      <c r="E200" s="96" t="str">
        <f>IFERROR(IF(VLOOKUP($A200,'Annex 2 EHV charges'!$A:$O,8,FALSE)=0,"",VLOOKUP($A200,'Annex 2 EHV charges'!$A:$O,8,FALSE)),"")</f>
        <v/>
      </c>
      <c r="F200" s="97" t="str">
        <f>IFERROR(IF(VLOOKUP($A200,'Annex 2 EHV charges'!$A:$O,9,FALSE)=0,"",VLOOKUP($A200,'Annex 2 EHV charges'!$A:$O,9,FALSE)),"")</f>
        <v/>
      </c>
      <c r="G200" s="98" t="str">
        <f>IFERROR(IF(VLOOKUP($A200,'Annex 2 EHV charges'!$A:$O,10,FALSE)=0,"",VLOOKUP($A200,'Annex 2 EHV charges'!$A:$O,10,FALSE)),"")</f>
        <v/>
      </c>
      <c r="H200" s="98" t="str">
        <f>IFERROR(IF(VLOOKUP($A200,'Annex 2 EHV charges'!$A:$O,11,FALSE)=0,"",VLOOKUP($A200,'Annex 2 EHV charges'!$A:$O,11,FALSE)),"")</f>
        <v/>
      </c>
    </row>
    <row r="201" spans="1:8" x14ac:dyDescent="0.2">
      <c r="A201" s="91" t="str">
        <f t="array" ref="A201">IFERROR(INDEX('Annex 2 EHV charges'!$A$10:$A$259, MATCH(0, IF(ISBLANK('Annex 2 EHV charges'!$A$10:$A$259),1, COUNTIF(A$4:$A200, 'Annex 2 EHV charges'!$A$10:$A$259)), 0)),"")</f>
        <v/>
      </c>
      <c r="B201" s="91" t="str">
        <f>IF($A201="","",VLOOKUP($A201,'Annex 2 EHV charges'!$A:$O,2,0))</f>
        <v/>
      </c>
      <c r="C201" s="92" t="str">
        <f>IF($A201="","",VLOOKUP($A201,'Annex 2 EHV charges'!$A:$O,3,0))</f>
        <v/>
      </c>
      <c r="D201" s="91" t="str">
        <f>IF($A201="","",VLOOKUP($A201,'Annex 2 EHV charges'!$A:$O,7,0))</f>
        <v/>
      </c>
      <c r="E201" s="96" t="str">
        <f>IFERROR(IF(VLOOKUP($A201,'Annex 2 EHV charges'!$A:$O,8,FALSE)=0,"",VLOOKUP($A201,'Annex 2 EHV charges'!$A:$O,8,FALSE)),"")</f>
        <v/>
      </c>
      <c r="F201" s="97" t="str">
        <f>IFERROR(IF(VLOOKUP($A201,'Annex 2 EHV charges'!$A:$O,9,FALSE)=0,"",VLOOKUP($A201,'Annex 2 EHV charges'!$A:$O,9,FALSE)),"")</f>
        <v/>
      </c>
      <c r="G201" s="98" t="str">
        <f>IFERROR(IF(VLOOKUP($A201,'Annex 2 EHV charges'!$A:$O,10,FALSE)=0,"",VLOOKUP($A201,'Annex 2 EHV charges'!$A:$O,10,FALSE)),"")</f>
        <v/>
      </c>
      <c r="H201" s="98" t="str">
        <f>IFERROR(IF(VLOOKUP($A201,'Annex 2 EHV charges'!$A:$O,11,FALSE)=0,"",VLOOKUP($A201,'Annex 2 EHV charges'!$A:$O,11,FALSE)),"")</f>
        <v/>
      </c>
    </row>
    <row r="202" spans="1:8" x14ac:dyDescent="0.2">
      <c r="A202" s="91" t="str">
        <f t="array" ref="A202">IFERROR(INDEX('Annex 2 EHV charges'!$A$10:$A$259, MATCH(0, IF(ISBLANK('Annex 2 EHV charges'!$A$10:$A$259),1, COUNTIF(A$4:$A201, 'Annex 2 EHV charges'!$A$10:$A$259)), 0)),"")</f>
        <v/>
      </c>
      <c r="B202" s="91" t="str">
        <f>IF($A202="","",VLOOKUP($A202,'Annex 2 EHV charges'!$A:$O,2,0))</f>
        <v/>
      </c>
      <c r="C202" s="92" t="str">
        <f>IF($A202="","",VLOOKUP($A202,'Annex 2 EHV charges'!$A:$O,3,0))</f>
        <v/>
      </c>
      <c r="D202" s="91" t="str">
        <f>IF($A202="","",VLOOKUP($A202,'Annex 2 EHV charges'!$A:$O,7,0))</f>
        <v/>
      </c>
      <c r="E202" s="96" t="str">
        <f>IFERROR(IF(VLOOKUP($A202,'Annex 2 EHV charges'!$A:$O,8,FALSE)=0,"",VLOOKUP($A202,'Annex 2 EHV charges'!$A:$O,8,FALSE)),"")</f>
        <v/>
      </c>
      <c r="F202" s="97" t="str">
        <f>IFERROR(IF(VLOOKUP($A202,'Annex 2 EHV charges'!$A:$O,9,FALSE)=0,"",VLOOKUP($A202,'Annex 2 EHV charges'!$A:$O,9,FALSE)),"")</f>
        <v/>
      </c>
      <c r="G202" s="98" t="str">
        <f>IFERROR(IF(VLOOKUP($A202,'Annex 2 EHV charges'!$A:$O,10,FALSE)=0,"",VLOOKUP($A202,'Annex 2 EHV charges'!$A:$O,10,FALSE)),"")</f>
        <v/>
      </c>
      <c r="H202" s="98" t="str">
        <f>IFERROR(IF(VLOOKUP($A202,'Annex 2 EHV charges'!$A:$O,11,FALSE)=0,"",VLOOKUP($A202,'Annex 2 EHV charges'!$A:$O,11,FALSE)),"")</f>
        <v/>
      </c>
    </row>
    <row r="203" spans="1:8" x14ac:dyDescent="0.2">
      <c r="A203" s="91" t="str">
        <f t="array" ref="A203">IFERROR(INDEX('Annex 2 EHV charges'!$A$10:$A$259, MATCH(0, IF(ISBLANK('Annex 2 EHV charges'!$A$10:$A$259),1, COUNTIF(A$4:$A202, 'Annex 2 EHV charges'!$A$10:$A$259)), 0)),"")</f>
        <v/>
      </c>
      <c r="B203" s="91" t="str">
        <f>IF($A203="","",VLOOKUP($A203,'Annex 2 EHV charges'!$A:$O,2,0))</f>
        <v/>
      </c>
      <c r="C203" s="92" t="str">
        <f>IF($A203="","",VLOOKUP($A203,'Annex 2 EHV charges'!$A:$O,3,0))</f>
        <v/>
      </c>
      <c r="D203" s="91" t="str">
        <f>IF($A203="","",VLOOKUP($A203,'Annex 2 EHV charges'!$A:$O,7,0))</f>
        <v/>
      </c>
      <c r="E203" s="96" t="str">
        <f>IFERROR(IF(VLOOKUP($A203,'Annex 2 EHV charges'!$A:$O,8,FALSE)=0,"",VLOOKUP($A203,'Annex 2 EHV charges'!$A:$O,8,FALSE)),"")</f>
        <v/>
      </c>
      <c r="F203" s="97" t="str">
        <f>IFERROR(IF(VLOOKUP($A203,'Annex 2 EHV charges'!$A:$O,9,FALSE)=0,"",VLOOKUP($A203,'Annex 2 EHV charges'!$A:$O,9,FALSE)),"")</f>
        <v/>
      </c>
      <c r="G203" s="98" t="str">
        <f>IFERROR(IF(VLOOKUP($A203,'Annex 2 EHV charges'!$A:$O,10,FALSE)=0,"",VLOOKUP($A203,'Annex 2 EHV charges'!$A:$O,10,FALSE)),"")</f>
        <v/>
      </c>
      <c r="H203" s="98" t="str">
        <f>IFERROR(IF(VLOOKUP($A203,'Annex 2 EHV charges'!$A:$O,11,FALSE)=0,"",VLOOKUP($A203,'Annex 2 EHV charges'!$A:$O,11,FALSE)),"")</f>
        <v/>
      </c>
    </row>
    <row r="204" spans="1:8" x14ac:dyDescent="0.2">
      <c r="A204" s="91" t="str">
        <f t="array" ref="A204">IFERROR(INDEX('Annex 2 EHV charges'!$A$10:$A$259, MATCH(0, IF(ISBLANK('Annex 2 EHV charges'!$A$10:$A$259),1, COUNTIF(A$4:$A203, 'Annex 2 EHV charges'!$A$10:$A$259)), 0)),"")</f>
        <v/>
      </c>
      <c r="B204" s="91" t="str">
        <f>IF($A204="","",VLOOKUP($A204,'Annex 2 EHV charges'!$A:$O,2,0))</f>
        <v/>
      </c>
      <c r="C204" s="92" t="str">
        <f>IF($A204="","",VLOOKUP($A204,'Annex 2 EHV charges'!$A:$O,3,0))</f>
        <v/>
      </c>
      <c r="D204" s="91" t="str">
        <f>IF($A204="","",VLOOKUP($A204,'Annex 2 EHV charges'!$A:$O,7,0))</f>
        <v/>
      </c>
      <c r="E204" s="96" t="str">
        <f>IFERROR(IF(VLOOKUP($A204,'Annex 2 EHV charges'!$A:$O,8,FALSE)=0,"",VLOOKUP($A204,'Annex 2 EHV charges'!$A:$O,8,FALSE)),"")</f>
        <v/>
      </c>
      <c r="F204" s="97" t="str">
        <f>IFERROR(IF(VLOOKUP($A204,'Annex 2 EHV charges'!$A:$O,9,FALSE)=0,"",VLOOKUP($A204,'Annex 2 EHV charges'!$A:$O,9,FALSE)),"")</f>
        <v/>
      </c>
      <c r="G204" s="98" t="str">
        <f>IFERROR(IF(VLOOKUP($A204,'Annex 2 EHV charges'!$A:$O,10,FALSE)=0,"",VLOOKUP($A204,'Annex 2 EHV charges'!$A:$O,10,FALSE)),"")</f>
        <v/>
      </c>
      <c r="H204" s="98" t="str">
        <f>IFERROR(IF(VLOOKUP($A204,'Annex 2 EHV charges'!$A:$O,11,FALSE)=0,"",VLOOKUP($A204,'Annex 2 EHV charges'!$A:$O,11,FALSE)),"")</f>
        <v/>
      </c>
    </row>
    <row r="205" spans="1:8" x14ac:dyDescent="0.2">
      <c r="A205" s="91" t="str">
        <f t="array" ref="A205">IFERROR(INDEX('Annex 2 EHV charges'!$A$10:$A$259, MATCH(0, IF(ISBLANK('Annex 2 EHV charges'!$A$10:$A$259),1, COUNTIF(A$4:$A204, 'Annex 2 EHV charges'!$A$10:$A$259)), 0)),"")</f>
        <v/>
      </c>
      <c r="B205" s="91" t="str">
        <f>IF($A205="","",VLOOKUP($A205,'Annex 2 EHV charges'!$A:$O,2,0))</f>
        <v/>
      </c>
      <c r="C205" s="92" t="str">
        <f>IF($A205="","",VLOOKUP($A205,'Annex 2 EHV charges'!$A:$O,3,0))</f>
        <v/>
      </c>
      <c r="D205" s="91" t="str">
        <f>IF($A205="","",VLOOKUP($A205,'Annex 2 EHV charges'!$A:$O,7,0))</f>
        <v/>
      </c>
      <c r="E205" s="96" t="str">
        <f>IFERROR(IF(VLOOKUP($A205,'Annex 2 EHV charges'!$A:$O,8,FALSE)=0,"",VLOOKUP($A205,'Annex 2 EHV charges'!$A:$O,8,FALSE)),"")</f>
        <v/>
      </c>
      <c r="F205" s="97" t="str">
        <f>IFERROR(IF(VLOOKUP($A205,'Annex 2 EHV charges'!$A:$O,9,FALSE)=0,"",VLOOKUP($A205,'Annex 2 EHV charges'!$A:$O,9,FALSE)),"")</f>
        <v/>
      </c>
      <c r="G205" s="98" t="str">
        <f>IFERROR(IF(VLOOKUP($A205,'Annex 2 EHV charges'!$A:$O,10,FALSE)=0,"",VLOOKUP($A205,'Annex 2 EHV charges'!$A:$O,10,FALSE)),"")</f>
        <v/>
      </c>
      <c r="H205" s="98" t="str">
        <f>IFERROR(IF(VLOOKUP($A205,'Annex 2 EHV charges'!$A:$O,11,FALSE)=0,"",VLOOKUP($A205,'Annex 2 EHV charges'!$A:$O,11,FALSE)),"")</f>
        <v/>
      </c>
    </row>
    <row r="206" spans="1:8" x14ac:dyDescent="0.2">
      <c r="A206" s="91" t="str">
        <f t="array" ref="A206">IFERROR(INDEX('Annex 2 EHV charges'!$A$10:$A$259, MATCH(0, IF(ISBLANK('Annex 2 EHV charges'!$A$10:$A$259),1, COUNTIF(A$4:$A205, 'Annex 2 EHV charges'!$A$10:$A$259)), 0)),"")</f>
        <v/>
      </c>
      <c r="B206" s="91" t="str">
        <f>IF($A206="","",VLOOKUP($A206,'Annex 2 EHV charges'!$A:$O,2,0))</f>
        <v/>
      </c>
      <c r="C206" s="92" t="str">
        <f>IF($A206="","",VLOOKUP($A206,'Annex 2 EHV charges'!$A:$O,3,0))</f>
        <v/>
      </c>
      <c r="D206" s="91" t="str">
        <f>IF($A206="","",VLOOKUP($A206,'Annex 2 EHV charges'!$A:$O,7,0))</f>
        <v/>
      </c>
      <c r="E206" s="96" t="str">
        <f>IFERROR(IF(VLOOKUP($A206,'Annex 2 EHV charges'!$A:$O,8,FALSE)=0,"",VLOOKUP($A206,'Annex 2 EHV charges'!$A:$O,8,FALSE)),"")</f>
        <v/>
      </c>
      <c r="F206" s="97" t="str">
        <f>IFERROR(IF(VLOOKUP($A206,'Annex 2 EHV charges'!$A:$O,9,FALSE)=0,"",VLOOKUP($A206,'Annex 2 EHV charges'!$A:$O,9,FALSE)),"")</f>
        <v/>
      </c>
      <c r="G206" s="98" t="str">
        <f>IFERROR(IF(VLOOKUP($A206,'Annex 2 EHV charges'!$A:$O,10,FALSE)=0,"",VLOOKUP($A206,'Annex 2 EHV charges'!$A:$O,10,FALSE)),"")</f>
        <v/>
      </c>
      <c r="H206" s="98" t="str">
        <f>IFERROR(IF(VLOOKUP($A206,'Annex 2 EHV charges'!$A:$O,11,FALSE)=0,"",VLOOKUP($A206,'Annex 2 EHV charges'!$A:$O,11,FALSE)),"")</f>
        <v/>
      </c>
    </row>
    <row r="207" spans="1:8" x14ac:dyDescent="0.2">
      <c r="A207" s="91" t="str">
        <f t="array" ref="A207">IFERROR(INDEX('Annex 2 EHV charges'!$A$10:$A$259, MATCH(0, IF(ISBLANK('Annex 2 EHV charges'!$A$10:$A$259),1, COUNTIF(A$4:$A206, 'Annex 2 EHV charges'!$A$10:$A$259)), 0)),"")</f>
        <v/>
      </c>
      <c r="B207" s="91" t="str">
        <f>IF($A207="","",VLOOKUP($A207,'Annex 2 EHV charges'!$A:$O,2,0))</f>
        <v/>
      </c>
      <c r="C207" s="92" t="str">
        <f>IF($A207="","",VLOOKUP($A207,'Annex 2 EHV charges'!$A:$O,3,0))</f>
        <v/>
      </c>
      <c r="D207" s="91" t="str">
        <f>IF($A207="","",VLOOKUP($A207,'Annex 2 EHV charges'!$A:$O,7,0))</f>
        <v/>
      </c>
      <c r="E207" s="96" t="str">
        <f>IFERROR(IF(VLOOKUP($A207,'Annex 2 EHV charges'!$A:$O,8,FALSE)=0,"",VLOOKUP($A207,'Annex 2 EHV charges'!$A:$O,8,FALSE)),"")</f>
        <v/>
      </c>
      <c r="F207" s="97" t="str">
        <f>IFERROR(IF(VLOOKUP($A207,'Annex 2 EHV charges'!$A:$O,9,FALSE)=0,"",VLOOKUP($A207,'Annex 2 EHV charges'!$A:$O,9,FALSE)),"")</f>
        <v/>
      </c>
      <c r="G207" s="98" t="str">
        <f>IFERROR(IF(VLOOKUP($A207,'Annex 2 EHV charges'!$A:$O,10,FALSE)=0,"",VLOOKUP($A207,'Annex 2 EHV charges'!$A:$O,10,FALSE)),"")</f>
        <v/>
      </c>
      <c r="H207" s="98" t="str">
        <f>IFERROR(IF(VLOOKUP($A207,'Annex 2 EHV charges'!$A:$O,11,FALSE)=0,"",VLOOKUP($A207,'Annex 2 EHV charges'!$A:$O,11,FALSE)),"")</f>
        <v/>
      </c>
    </row>
    <row r="208" spans="1:8" x14ac:dyDescent="0.2">
      <c r="A208" s="91" t="str">
        <f t="array" ref="A208">IFERROR(INDEX('Annex 2 EHV charges'!$A$10:$A$259, MATCH(0, IF(ISBLANK('Annex 2 EHV charges'!$A$10:$A$259),1, COUNTIF(A$4:$A207, 'Annex 2 EHV charges'!$A$10:$A$259)), 0)),"")</f>
        <v/>
      </c>
      <c r="B208" s="91" t="str">
        <f>IF($A208="","",VLOOKUP($A208,'Annex 2 EHV charges'!$A:$O,2,0))</f>
        <v/>
      </c>
      <c r="C208" s="92" t="str">
        <f>IF($A208="","",VLOOKUP($A208,'Annex 2 EHV charges'!$A:$O,3,0))</f>
        <v/>
      </c>
      <c r="D208" s="91" t="str">
        <f>IF($A208="","",VLOOKUP($A208,'Annex 2 EHV charges'!$A:$O,7,0))</f>
        <v/>
      </c>
      <c r="E208" s="96" t="str">
        <f>IFERROR(IF(VLOOKUP($A208,'Annex 2 EHV charges'!$A:$O,8,FALSE)=0,"",VLOOKUP($A208,'Annex 2 EHV charges'!$A:$O,8,FALSE)),"")</f>
        <v/>
      </c>
      <c r="F208" s="97" t="str">
        <f>IFERROR(IF(VLOOKUP($A208,'Annex 2 EHV charges'!$A:$O,9,FALSE)=0,"",VLOOKUP($A208,'Annex 2 EHV charges'!$A:$O,9,FALSE)),"")</f>
        <v/>
      </c>
      <c r="G208" s="98" t="str">
        <f>IFERROR(IF(VLOOKUP($A208,'Annex 2 EHV charges'!$A:$O,10,FALSE)=0,"",VLOOKUP($A208,'Annex 2 EHV charges'!$A:$O,10,FALSE)),"")</f>
        <v/>
      </c>
      <c r="H208" s="98" t="str">
        <f>IFERROR(IF(VLOOKUP($A208,'Annex 2 EHV charges'!$A:$O,11,FALSE)=0,"",VLOOKUP($A208,'Annex 2 EHV charges'!$A:$O,11,FALSE)),"")</f>
        <v/>
      </c>
    </row>
    <row r="209" spans="1:8" x14ac:dyDescent="0.2">
      <c r="A209" s="91" t="str">
        <f t="array" ref="A209">IFERROR(INDEX('Annex 2 EHV charges'!$A$10:$A$259, MATCH(0, IF(ISBLANK('Annex 2 EHV charges'!$A$10:$A$259),1, COUNTIF(A$4:$A208, 'Annex 2 EHV charges'!$A$10:$A$259)), 0)),"")</f>
        <v/>
      </c>
      <c r="B209" s="91" t="str">
        <f>IF($A209="","",VLOOKUP($A209,'Annex 2 EHV charges'!$A:$O,2,0))</f>
        <v/>
      </c>
      <c r="C209" s="92" t="str">
        <f>IF($A209="","",VLOOKUP($A209,'Annex 2 EHV charges'!$A:$O,3,0))</f>
        <v/>
      </c>
      <c r="D209" s="91" t="str">
        <f>IF($A209="","",VLOOKUP($A209,'Annex 2 EHV charges'!$A:$O,7,0))</f>
        <v/>
      </c>
      <c r="E209" s="96" t="str">
        <f>IFERROR(IF(VLOOKUP($A209,'Annex 2 EHV charges'!$A:$O,8,FALSE)=0,"",VLOOKUP($A209,'Annex 2 EHV charges'!$A:$O,8,FALSE)),"")</f>
        <v/>
      </c>
      <c r="F209" s="97" t="str">
        <f>IFERROR(IF(VLOOKUP($A209,'Annex 2 EHV charges'!$A:$O,9,FALSE)=0,"",VLOOKUP($A209,'Annex 2 EHV charges'!$A:$O,9,FALSE)),"")</f>
        <v/>
      </c>
      <c r="G209" s="98" t="str">
        <f>IFERROR(IF(VLOOKUP($A209,'Annex 2 EHV charges'!$A:$O,10,FALSE)=0,"",VLOOKUP($A209,'Annex 2 EHV charges'!$A:$O,10,FALSE)),"")</f>
        <v/>
      </c>
      <c r="H209" s="98" t="str">
        <f>IFERROR(IF(VLOOKUP($A209,'Annex 2 EHV charges'!$A:$O,11,FALSE)=0,"",VLOOKUP($A209,'Annex 2 EHV charges'!$A:$O,11,FALSE)),"")</f>
        <v/>
      </c>
    </row>
    <row r="210" spans="1:8" x14ac:dyDescent="0.2">
      <c r="A210" s="91" t="str">
        <f t="array" ref="A210">IFERROR(INDEX('Annex 2 EHV charges'!$A$10:$A$259, MATCH(0, IF(ISBLANK('Annex 2 EHV charges'!$A$10:$A$259),1, COUNTIF(A$4:$A209, 'Annex 2 EHV charges'!$A$10:$A$259)), 0)),"")</f>
        <v/>
      </c>
      <c r="B210" s="91" t="str">
        <f>IF($A210="","",VLOOKUP($A210,'Annex 2 EHV charges'!$A:$O,2,0))</f>
        <v/>
      </c>
      <c r="C210" s="92" t="str">
        <f>IF($A210="","",VLOOKUP($A210,'Annex 2 EHV charges'!$A:$O,3,0))</f>
        <v/>
      </c>
      <c r="D210" s="91" t="str">
        <f>IF($A210="","",VLOOKUP($A210,'Annex 2 EHV charges'!$A:$O,7,0))</f>
        <v/>
      </c>
      <c r="E210" s="96" t="str">
        <f>IFERROR(IF(VLOOKUP($A210,'Annex 2 EHV charges'!$A:$O,8,FALSE)=0,"",VLOOKUP($A210,'Annex 2 EHV charges'!$A:$O,8,FALSE)),"")</f>
        <v/>
      </c>
      <c r="F210" s="97" t="str">
        <f>IFERROR(IF(VLOOKUP($A210,'Annex 2 EHV charges'!$A:$O,9,FALSE)=0,"",VLOOKUP($A210,'Annex 2 EHV charges'!$A:$O,9,FALSE)),"")</f>
        <v/>
      </c>
      <c r="G210" s="98" t="str">
        <f>IFERROR(IF(VLOOKUP($A210,'Annex 2 EHV charges'!$A:$O,10,FALSE)=0,"",VLOOKUP($A210,'Annex 2 EHV charges'!$A:$O,10,FALSE)),"")</f>
        <v/>
      </c>
      <c r="H210" s="98" t="str">
        <f>IFERROR(IF(VLOOKUP($A210,'Annex 2 EHV charges'!$A:$O,11,FALSE)=0,"",VLOOKUP($A210,'Annex 2 EHV charges'!$A:$O,11,FALSE)),"")</f>
        <v/>
      </c>
    </row>
    <row r="211" spans="1:8" x14ac:dyDescent="0.2">
      <c r="A211" s="91" t="str">
        <f t="array" ref="A211">IFERROR(INDEX('Annex 2 EHV charges'!$A$10:$A$259, MATCH(0, IF(ISBLANK('Annex 2 EHV charges'!$A$10:$A$259),1, COUNTIF(A$4:$A210, 'Annex 2 EHV charges'!$A$10:$A$259)), 0)),"")</f>
        <v/>
      </c>
      <c r="B211" s="91" t="str">
        <f>IF($A211="","",VLOOKUP($A211,'Annex 2 EHV charges'!$A:$O,2,0))</f>
        <v/>
      </c>
      <c r="C211" s="92" t="str">
        <f>IF($A211="","",VLOOKUP($A211,'Annex 2 EHV charges'!$A:$O,3,0))</f>
        <v/>
      </c>
      <c r="D211" s="91" t="str">
        <f>IF($A211="","",VLOOKUP($A211,'Annex 2 EHV charges'!$A:$O,7,0))</f>
        <v/>
      </c>
      <c r="E211" s="96" t="str">
        <f>IFERROR(IF(VLOOKUP($A211,'Annex 2 EHV charges'!$A:$O,8,FALSE)=0,"",VLOOKUP($A211,'Annex 2 EHV charges'!$A:$O,8,FALSE)),"")</f>
        <v/>
      </c>
      <c r="F211" s="97" t="str">
        <f>IFERROR(IF(VLOOKUP($A211,'Annex 2 EHV charges'!$A:$O,9,FALSE)=0,"",VLOOKUP($A211,'Annex 2 EHV charges'!$A:$O,9,FALSE)),"")</f>
        <v/>
      </c>
      <c r="G211" s="98" t="str">
        <f>IFERROR(IF(VLOOKUP($A211,'Annex 2 EHV charges'!$A:$O,10,FALSE)=0,"",VLOOKUP($A211,'Annex 2 EHV charges'!$A:$O,10,FALSE)),"")</f>
        <v/>
      </c>
      <c r="H211" s="98" t="str">
        <f>IFERROR(IF(VLOOKUP($A211,'Annex 2 EHV charges'!$A:$O,11,FALSE)=0,"",VLOOKUP($A211,'Annex 2 EHV charges'!$A:$O,11,FALSE)),"")</f>
        <v/>
      </c>
    </row>
    <row r="212" spans="1:8" x14ac:dyDescent="0.2">
      <c r="A212" s="91" t="str">
        <f t="array" ref="A212">IFERROR(INDEX('Annex 2 EHV charges'!$A$10:$A$259, MATCH(0, IF(ISBLANK('Annex 2 EHV charges'!$A$10:$A$259),1, COUNTIF(A$4:$A211, 'Annex 2 EHV charges'!$A$10:$A$259)), 0)),"")</f>
        <v/>
      </c>
      <c r="B212" s="91" t="str">
        <f>IF($A212="","",VLOOKUP($A212,'Annex 2 EHV charges'!$A:$O,2,0))</f>
        <v/>
      </c>
      <c r="C212" s="92" t="str">
        <f>IF($A212="","",VLOOKUP($A212,'Annex 2 EHV charges'!$A:$O,3,0))</f>
        <v/>
      </c>
      <c r="D212" s="91" t="str">
        <f>IF($A212="","",VLOOKUP($A212,'Annex 2 EHV charges'!$A:$O,7,0))</f>
        <v/>
      </c>
      <c r="E212" s="96" t="str">
        <f>IFERROR(IF(VLOOKUP($A212,'Annex 2 EHV charges'!$A:$O,8,FALSE)=0,"",VLOOKUP($A212,'Annex 2 EHV charges'!$A:$O,8,FALSE)),"")</f>
        <v/>
      </c>
      <c r="F212" s="97" t="str">
        <f>IFERROR(IF(VLOOKUP($A212,'Annex 2 EHV charges'!$A:$O,9,FALSE)=0,"",VLOOKUP($A212,'Annex 2 EHV charges'!$A:$O,9,FALSE)),"")</f>
        <v/>
      </c>
      <c r="G212" s="98" t="str">
        <f>IFERROR(IF(VLOOKUP($A212,'Annex 2 EHV charges'!$A:$O,10,FALSE)=0,"",VLOOKUP($A212,'Annex 2 EHV charges'!$A:$O,10,FALSE)),"")</f>
        <v/>
      </c>
      <c r="H212" s="98" t="str">
        <f>IFERROR(IF(VLOOKUP($A212,'Annex 2 EHV charges'!$A:$O,11,FALSE)=0,"",VLOOKUP($A212,'Annex 2 EHV charges'!$A:$O,11,FALSE)),"")</f>
        <v/>
      </c>
    </row>
    <row r="213" spans="1:8" x14ac:dyDescent="0.2">
      <c r="A213" s="91" t="str">
        <f t="array" ref="A213">IFERROR(INDEX('Annex 2 EHV charges'!$A$10:$A$259, MATCH(0, IF(ISBLANK('Annex 2 EHV charges'!$A$10:$A$259),1, COUNTIF(A$4:$A212, 'Annex 2 EHV charges'!$A$10:$A$259)), 0)),"")</f>
        <v/>
      </c>
      <c r="B213" s="91" t="str">
        <f>IF($A213="","",VLOOKUP($A213,'Annex 2 EHV charges'!$A:$O,2,0))</f>
        <v/>
      </c>
      <c r="C213" s="92" t="str">
        <f>IF($A213="","",VLOOKUP($A213,'Annex 2 EHV charges'!$A:$O,3,0))</f>
        <v/>
      </c>
      <c r="D213" s="91" t="str">
        <f>IF($A213="","",VLOOKUP($A213,'Annex 2 EHV charges'!$A:$O,7,0))</f>
        <v/>
      </c>
      <c r="E213" s="96" t="str">
        <f>IFERROR(IF(VLOOKUP($A213,'Annex 2 EHV charges'!$A:$O,8,FALSE)=0,"",VLOOKUP($A213,'Annex 2 EHV charges'!$A:$O,8,FALSE)),"")</f>
        <v/>
      </c>
      <c r="F213" s="97" t="str">
        <f>IFERROR(IF(VLOOKUP($A213,'Annex 2 EHV charges'!$A:$O,9,FALSE)=0,"",VLOOKUP($A213,'Annex 2 EHV charges'!$A:$O,9,FALSE)),"")</f>
        <v/>
      </c>
      <c r="G213" s="98" t="str">
        <f>IFERROR(IF(VLOOKUP($A213,'Annex 2 EHV charges'!$A:$O,10,FALSE)=0,"",VLOOKUP($A213,'Annex 2 EHV charges'!$A:$O,10,FALSE)),"")</f>
        <v/>
      </c>
      <c r="H213" s="98" t="str">
        <f>IFERROR(IF(VLOOKUP($A213,'Annex 2 EHV charges'!$A:$O,11,FALSE)=0,"",VLOOKUP($A213,'Annex 2 EHV charges'!$A:$O,11,FALSE)),"")</f>
        <v/>
      </c>
    </row>
    <row r="214" spans="1:8" x14ac:dyDescent="0.2">
      <c r="A214" s="91" t="str">
        <f t="array" ref="A214">IFERROR(INDEX('Annex 2 EHV charges'!$A$10:$A$259, MATCH(0, IF(ISBLANK('Annex 2 EHV charges'!$A$10:$A$259),1, COUNTIF(A$4:$A213, 'Annex 2 EHV charges'!$A$10:$A$259)), 0)),"")</f>
        <v/>
      </c>
      <c r="B214" s="91" t="str">
        <f>IF($A214="","",VLOOKUP($A214,'Annex 2 EHV charges'!$A:$O,2,0))</f>
        <v/>
      </c>
      <c r="C214" s="92" t="str">
        <f>IF($A214="","",VLOOKUP($A214,'Annex 2 EHV charges'!$A:$O,3,0))</f>
        <v/>
      </c>
      <c r="D214" s="91" t="str">
        <f>IF($A214="","",VLOOKUP($A214,'Annex 2 EHV charges'!$A:$O,7,0))</f>
        <v/>
      </c>
      <c r="E214" s="96" t="str">
        <f>IFERROR(IF(VLOOKUP($A214,'Annex 2 EHV charges'!$A:$O,8,FALSE)=0,"",VLOOKUP($A214,'Annex 2 EHV charges'!$A:$O,8,FALSE)),"")</f>
        <v/>
      </c>
      <c r="F214" s="97" t="str">
        <f>IFERROR(IF(VLOOKUP($A214,'Annex 2 EHV charges'!$A:$O,9,FALSE)=0,"",VLOOKUP($A214,'Annex 2 EHV charges'!$A:$O,9,FALSE)),"")</f>
        <v/>
      </c>
      <c r="G214" s="98" t="str">
        <f>IFERROR(IF(VLOOKUP($A214,'Annex 2 EHV charges'!$A:$O,10,FALSE)=0,"",VLOOKUP($A214,'Annex 2 EHV charges'!$A:$O,10,FALSE)),"")</f>
        <v/>
      </c>
      <c r="H214" s="98" t="str">
        <f>IFERROR(IF(VLOOKUP($A214,'Annex 2 EHV charges'!$A:$O,11,FALSE)=0,"",VLOOKUP($A214,'Annex 2 EHV charges'!$A:$O,11,FALSE)),"")</f>
        <v/>
      </c>
    </row>
    <row r="215" spans="1:8" x14ac:dyDescent="0.2">
      <c r="A215" s="91" t="str">
        <f t="array" ref="A215">IFERROR(INDEX('Annex 2 EHV charges'!$A$10:$A$259, MATCH(0, IF(ISBLANK('Annex 2 EHV charges'!$A$10:$A$259),1, COUNTIF(A$4:$A214, 'Annex 2 EHV charges'!$A$10:$A$259)), 0)),"")</f>
        <v/>
      </c>
      <c r="B215" s="91" t="str">
        <f>IF($A215="","",VLOOKUP($A215,'Annex 2 EHV charges'!$A:$O,2,0))</f>
        <v/>
      </c>
      <c r="C215" s="92" t="str">
        <f>IF($A215="","",VLOOKUP($A215,'Annex 2 EHV charges'!$A:$O,3,0))</f>
        <v/>
      </c>
      <c r="D215" s="91" t="str">
        <f>IF($A215="","",VLOOKUP($A215,'Annex 2 EHV charges'!$A:$O,7,0))</f>
        <v/>
      </c>
      <c r="E215" s="96" t="str">
        <f>IFERROR(IF(VLOOKUP($A215,'Annex 2 EHV charges'!$A:$O,8,FALSE)=0,"",VLOOKUP($A215,'Annex 2 EHV charges'!$A:$O,8,FALSE)),"")</f>
        <v/>
      </c>
      <c r="F215" s="97" t="str">
        <f>IFERROR(IF(VLOOKUP($A215,'Annex 2 EHV charges'!$A:$O,9,FALSE)=0,"",VLOOKUP($A215,'Annex 2 EHV charges'!$A:$O,9,FALSE)),"")</f>
        <v/>
      </c>
      <c r="G215" s="98" t="str">
        <f>IFERROR(IF(VLOOKUP($A215,'Annex 2 EHV charges'!$A:$O,10,FALSE)=0,"",VLOOKUP($A215,'Annex 2 EHV charges'!$A:$O,10,FALSE)),"")</f>
        <v/>
      </c>
      <c r="H215" s="98" t="str">
        <f>IFERROR(IF(VLOOKUP($A215,'Annex 2 EHV charges'!$A:$O,11,FALSE)=0,"",VLOOKUP($A215,'Annex 2 EHV charges'!$A:$O,11,FALSE)),"")</f>
        <v/>
      </c>
    </row>
    <row r="216" spans="1:8" x14ac:dyDescent="0.2">
      <c r="A216" s="91" t="str">
        <f t="array" ref="A216">IFERROR(INDEX('Annex 2 EHV charges'!$A$10:$A$259, MATCH(0, IF(ISBLANK('Annex 2 EHV charges'!$A$10:$A$259),1, COUNTIF(A$4:$A215, 'Annex 2 EHV charges'!$A$10:$A$259)), 0)),"")</f>
        <v/>
      </c>
      <c r="B216" s="91" t="str">
        <f>IF($A216="","",VLOOKUP($A216,'Annex 2 EHV charges'!$A:$O,2,0))</f>
        <v/>
      </c>
      <c r="C216" s="92" t="str">
        <f>IF($A216="","",VLOOKUP($A216,'Annex 2 EHV charges'!$A:$O,3,0))</f>
        <v/>
      </c>
      <c r="D216" s="91" t="str">
        <f>IF($A216="","",VLOOKUP($A216,'Annex 2 EHV charges'!$A:$O,7,0))</f>
        <v/>
      </c>
      <c r="E216" s="96" t="str">
        <f>IFERROR(IF(VLOOKUP($A216,'Annex 2 EHV charges'!$A:$O,8,FALSE)=0,"",VLOOKUP($A216,'Annex 2 EHV charges'!$A:$O,8,FALSE)),"")</f>
        <v/>
      </c>
      <c r="F216" s="97" t="str">
        <f>IFERROR(IF(VLOOKUP($A216,'Annex 2 EHV charges'!$A:$O,9,FALSE)=0,"",VLOOKUP($A216,'Annex 2 EHV charges'!$A:$O,9,FALSE)),"")</f>
        <v/>
      </c>
      <c r="G216" s="98" t="str">
        <f>IFERROR(IF(VLOOKUP($A216,'Annex 2 EHV charges'!$A:$O,10,FALSE)=0,"",VLOOKUP($A216,'Annex 2 EHV charges'!$A:$O,10,FALSE)),"")</f>
        <v/>
      </c>
      <c r="H216" s="98" t="str">
        <f>IFERROR(IF(VLOOKUP($A216,'Annex 2 EHV charges'!$A:$O,11,FALSE)=0,"",VLOOKUP($A216,'Annex 2 EHV charges'!$A:$O,11,FALSE)),"")</f>
        <v/>
      </c>
    </row>
    <row r="217" spans="1:8" x14ac:dyDescent="0.2">
      <c r="A217" s="91" t="str">
        <f t="array" ref="A217">IFERROR(INDEX('Annex 2 EHV charges'!$A$10:$A$259, MATCH(0, IF(ISBLANK('Annex 2 EHV charges'!$A$10:$A$259),1, COUNTIF(A$4:$A216, 'Annex 2 EHV charges'!$A$10:$A$259)), 0)),"")</f>
        <v/>
      </c>
      <c r="B217" s="91" t="str">
        <f>IF($A217="","",VLOOKUP($A217,'Annex 2 EHV charges'!$A:$O,2,0))</f>
        <v/>
      </c>
      <c r="C217" s="92" t="str">
        <f>IF($A217="","",VLOOKUP($A217,'Annex 2 EHV charges'!$A:$O,3,0))</f>
        <v/>
      </c>
      <c r="D217" s="91" t="str">
        <f>IF($A217="","",VLOOKUP($A217,'Annex 2 EHV charges'!$A:$O,7,0))</f>
        <v/>
      </c>
      <c r="E217" s="96" t="str">
        <f>IFERROR(IF(VLOOKUP($A217,'Annex 2 EHV charges'!$A:$O,8,FALSE)=0,"",VLOOKUP($A217,'Annex 2 EHV charges'!$A:$O,8,FALSE)),"")</f>
        <v/>
      </c>
      <c r="F217" s="97" t="str">
        <f>IFERROR(IF(VLOOKUP($A217,'Annex 2 EHV charges'!$A:$O,9,FALSE)=0,"",VLOOKUP($A217,'Annex 2 EHV charges'!$A:$O,9,FALSE)),"")</f>
        <v/>
      </c>
      <c r="G217" s="98" t="str">
        <f>IFERROR(IF(VLOOKUP($A217,'Annex 2 EHV charges'!$A:$O,10,FALSE)=0,"",VLOOKUP($A217,'Annex 2 EHV charges'!$A:$O,10,FALSE)),"")</f>
        <v/>
      </c>
      <c r="H217" s="98" t="str">
        <f>IFERROR(IF(VLOOKUP($A217,'Annex 2 EHV charges'!$A:$O,11,FALSE)=0,"",VLOOKUP($A217,'Annex 2 EHV charges'!$A:$O,11,FALSE)),"")</f>
        <v/>
      </c>
    </row>
    <row r="218" spans="1:8" x14ac:dyDescent="0.2">
      <c r="A218" s="91" t="str">
        <f t="array" ref="A218">IFERROR(INDEX('Annex 2 EHV charges'!$A$10:$A$259, MATCH(0, IF(ISBLANK('Annex 2 EHV charges'!$A$10:$A$259),1, COUNTIF(A$4:$A217, 'Annex 2 EHV charges'!$A$10:$A$259)), 0)),"")</f>
        <v/>
      </c>
      <c r="B218" s="91" t="str">
        <f>IF($A218="","",VLOOKUP($A218,'Annex 2 EHV charges'!$A:$O,2,0))</f>
        <v/>
      </c>
      <c r="C218" s="92" t="str">
        <f>IF($A218="","",VLOOKUP($A218,'Annex 2 EHV charges'!$A:$O,3,0))</f>
        <v/>
      </c>
      <c r="D218" s="91" t="str">
        <f>IF($A218="","",VLOOKUP($A218,'Annex 2 EHV charges'!$A:$O,7,0))</f>
        <v/>
      </c>
      <c r="E218" s="96" t="str">
        <f>IFERROR(IF(VLOOKUP($A218,'Annex 2 EHV charges'!$A:$O,8,FALSE)=0,"",VLOOKUP($A218,'Annex 2 EHV charges'!$A:$O,8,FALSE)),"")</f>
        <v/>
      </c>
      <c r="F218" s="97" t="str">
        <f>IFERROR(IF(VLOOKUP($A218,'Annex 2 EHV charges'!$A:$O,9,FALSE)=0,"",VLOOKUP($A218,'Annex 2 EHV charges'!$A:$O,9,FALSE)),"")</f>
        <v/>
      </c>
      <c r="G218" s="98" t="str">
        <f>IFERROR(IF(VLOOKUP($A218,'Annex 2 EHV charges'!$A:$O,10,FALSE)=0,"",VLOOKUP($A218,'Annex 2 EHV charges'!$A:$O,10,FALSE)),"")</f>
        <v/>
      </c>
      <c r="H218" s="98" t="str">
        <f>IFERROR(IF(VLOOKUP($A218,'Annex 2 EHV charges'!$A:$O,11,FALSE)=0,"",VLOOKUP($A218,'Annex 2 EHV charges'!$A:$O,11,FALSE)),"")</f>
        <v/>
      </c>
    </row>
    <row r="219" spans="1:8" x14ac:dyDescent="0.2">
      <c r="A219" s="91" t="str">
        <f t="array" ref="A219">IFERROR(INDEX('Annex 2 EHV charges'!$A$10:$A$259, MATCH(0, IF(ISBLANK('Annex 2 EHV charges'!$A$10:$A$259),1, COUNTIF(A$4:$A218, 'Annex 2 EHV charges'!$A$10:$A$259)), 0)),"")</f>
        <v/>
      </c>
      <c r="B219" s="91" t="str">
        <f>IF($A219="","",VLOOKUP($A219,'Annex 2 EHV charges'!$A:$O,2,0))</f>
        <v/>
      </c>
      <c r="C219" s="92" t="str">
        <f>IF($A219="","",VLOOKUP($A219,'Annex 2 EHV charges'!$A:$O,3,0))</f>
        <v/>
      </c>
      <c r="D219" s="91" t="str">
        <f>IF($A219="","",VLOOKUP($A219,'Annex 2 EHV charges'!$A:$O,7,0))</f>
        <v/>
      </c>
      <c r="E219" s="96" t="str">
        <f>IFERROR(IF(VLOOKUP($A219,'Annex 2 EHV charges'!$A:$O,8,FALSE)=0,"",VLOOKUP($A219,'Annex 2 EHV charges'!$A:$O,8,FALSE)),"")</f>
        <v/>
      </c>
      <c r="F219" s="97" t="str">
        <f>IFERROR(IF(VLOOKUP($A219,'Annex 2 EHV charges'!$A:$O,9,FALSE)=0,"",VLOOKUP($A219,'Annex 2 EHV charges'!$A:$O,9,FALSE)),"")</f>
        <v/>
      </c>
      <c r="G219" s="98" t="str">
        <f>IFERROR(IF(VLOOKUP($A219,'Annex 2 EHV charges'!$A:$O,10,FALSE)=0,"",VLOOKUP($A219,'Annex 2 EHV charges'!$A:$O,10,FALSE)),"")</f>
        <v/>
      </c>
      <c r="H219" s="98" t="str">
        <f>IFERROR(IF(VLOOKUP($A219,'Annex 2 EHV charges'!$A:$O,11,FALSE)=0,"",VLOOKUP($A219,'Annex 2 EHV charges'!$A:$O,11,FALSE)),"")</f>
        <v/>
      </c>
    </row>
    <row r="220" spans="1:8" x14ac:dyDescent="0.2">
      <c r="A220" s="91" t="str">
        <f t="array" ref="A220">IFERROR(INDEX('Annex 2 EHV charges'!$A$10:$A$259, MATCH(0, IF(ISBLANK('Annex 2 EHV charges'!$A$10:$A$259),1, COUNTIF(A$4:$A219, 'Annex 2 EHV charges'!$A$10:$A$259)), 0)),"")</f>
        <v/>
      </c>
      <c r="B220" s="91" t="str">
        <f>IF($A220="","",VLOOKUP($A220,'Annex 2 EHV charges'!$A:$O,2,0))</f>
        <v/>
      </c>
      <c r="C220" s="92" t="str">
        <f>IF($A220="","",VLOOKUP($A220,'Annex 2 EHV charges'!$A:$O,3,0))</f>
        <v/>
      </c>
      <c r="D220" s="91" t="str">
        <f>IF($A220="","",VLOOKUP($A220,'Annex 2 EHV charges'!$A:$O,7,0))</f>
        <v/>
      </c>
      <c r="E220" s="96" t="str">
        <f>IFERROR(IF(VLOOKUP($A220,'Annex 2 EHV charges'!$A:$O,8,FALSE)=0,"",VLOOKUP($A220,'Annex 2 EHV charges'!$A:$O,8,FALSE)),"")</f>
        <v/>
      </c>
      <c r="F220" s="97" t="str">
        <f>IFERROR(IF(VLOOKUP($A220,'Annex 2 EHV charges'!$A:$O,9,FALSE)=0,"",VLOOKUP($A220,'Annex 2 EHV charges'!$A:$O,9,FALSE)),"")</f>
        <v/>
      </c>
      <c r="G220" s="98" t="str">
        <f>IFERROR(IF(VLOOKUP($A220,'Annex 2 EHV charges'!$A:$O,10,FALSE)=0,"",VLOOKUP($A220,'Annex 2 EHV charges'!$A:$O,10,FALSE)),"")</f>
        <v/>
      </c>
      <c r="H220" s="98" t="str">
        <f>IFERROR(IF(VLOOKUP($A220,'Annex 2 EHV charges'!$A:$O,11,FALSE)=0,"",VLOOKUP($A220,'Annex 2 EHV charges'!$A:$O,11,FALSE)),"")</f>
        <v/>
      </c>
    </row>
    <row r="221" spans="1:8" x14ac:dyDescent="0.2">
      <c r="A221" s="91" t="str">
        <f t="array" ref="A221">IFERROR(INDEX('Annex 2 EHV charges'!$A$10:$A$259, MATCH(0, IF(ISBLANK('Annex 2 EHV charges'!$A$10:$A$259),1, COUNTIF(A$4:$A220, 'Annex 2 EHV charges'!$A$10:$A$259)), 0)),"")</f>
        <v/>
      </c>
      <c r="B221" s="91" t="str">
        <f>IF($A221="","",VLOOKUP($A221,'Annex 2 EHV charges'!$A:$O,2,0))</f>
        <v/>
      </c>
      <c r="C221" s="92" t="str">
        <f>IF($A221="","",VLOOKUP($A221,'Annex 2 EHV charges'!$A:$O,3,0))</f>
        <v/>
      </c>
      <c r="D221" s="91" t="str">
        <f>IF($A221="","",VLOOKUP($A221,'Annex 2 EHV charges'!$A:$O,7,0))</f>
        <v/>
      </c>
      <c r="E221" s="96" t="str">
        <f>IFERROR(IF(VLOOKUP($A221,'Annex 2 EHV charges'!$A:$O,8,FALSE)=0,"",VLOOKUP($A221,'Annex 2 EHV charges'!$A:$O,8,FALSE)),"")</f>
        <v/>
      </c>
      <c r="F221" s="97" t="str">
        <f>IFERROR(IF(VLOOKUP($A221,'Annex 2 EHV charges'!$A:$O,9,FALSE)=0,"",VLOOKUP($A221,'Annex 2 EHV charges'!$A:$O,9,FALSE)),"")</f>
        <v/>
      </c>
      <c r="G221" s="98" t="str">
        <f>IFERROR(IF(VLOOKUP($A221,'Annex 2 EHV charges'!$A:$O,10,FALSE)=0,"",VLOOKUP($A221,'Annex 2 EHV charges'!$A:$O,10,FALSE)),"")</f>
        <v/>
      </c>
      <c r="H221" s="98" t="str">
        <f>IFERROR(IF(VLOOKUP($A221,'Annex 2 EHV charges'!$A:$O,11,FALSE)=0,"",VLOOKUP($A221,'Annex 2 EHV charges'!$A:$O,11,FALSE)),"")</f>
        <v/>
      </c>
    </row>
    <row r="222" spans="1:8" x14ac:dyDescent="0.2">
      <c r="A222" s="91" t="str">
        <f t="array" ref="A222">IFERROR(INDEX('Annex 2 EHV charges'!$A$10:$A$259, MATCH(0, IF(ISBLANK('Annex 2 EHV charges'!$A$10:$A$259),1, COUNTIF(A$4:$A221, 'Annex 2 EHV charges'!$A$10:$A$259)), 0)),"")</f>
        <v/>
      </c>
      <c r="B222" s="91" t="str">
        <f>IF($A222="","",VLOOKUP($A222,'Annex 2 EHV charges'!$A:$O,2,0))</f>
        <v/>
      </c>
      <c r="C222" s="92" t="str">
        <f>IF($A222="","",VLOOKUP($A222,'Annex 2 EHV charges'!$A:$O,3,0))</f>
        <v/>
      </c>
      <c r="D222" s="91" t="str">
        <f>IF($A222="","",VLOOKUP($A222,'Annex 2 EHV charges'!$A:$O,7,0))</f>
        <v/>
      </c>
      <c r="E222" s="96" t="str">
        <f>IFERROR(IF(VLOOKUP($A222,'Annex 2 EHV charges'!$A:$O,8,FALSE)=0,"",VLOOKUP($A222,'Annex 2 EHV charges'!$A:$O,8,FALSE)),"")</f>
        <v/>
      </c>
      <c r="F222" s="97" t="str">
        <f>IFERROR(IF(VLOOKUP($A222,'Annex 2 EHV charges'!$A:$O,9,FALSE)=0,"",VLOOKUP($A222,'Annex 2 EHV charges'!$A:$O,9,FALSE)),"")</f>
        <v/>
      </c>
      <c r="G222" s="98" t="str">
        <f>IFERROR(IF(VLOOKUP($A222,'Annex 2 EHV charges'!$A:$O,10,FALSE)=0,"",VLOOKUP($A222,'Annex 2 EHV charges'!$A:$O,10,FALSE)),"")</f>
        <v/>
      </c>
      <c r="H222" s="98" t="str">
        <f>IFERROR(IF(VLOOKUP($A222,'Annex 2 EHV charges'!$A:$O,11,FALSE)=0,"",VLOOKUP($A222,'Annex 2 EHV charges'!$A:$O,11,FALSE)),"")</f>
        <v/>
      </c>
    </row>
    <row r="223" spans="1:8" x14ac:dyDescent="0.2">
      <c r="A223" s="91" t="str">
        <f t="array" ref="A223">IFERROR(INDEX('Annex 2 EHV charges'!$A$10:$A$259, MATCH(0, IF(ISBLANK('Annex 2 EHV charges'!$A$10:$A$259),1, COUNTIF(A$4:$A222, 'Annex 2 EHV charges'!$A$10:$A$259)), 0)),"")</f>
        <v/>
      </c>
      <c r="B223" s="91" t="str">
        <f>IF($A223="","",VLOOKUP($A223,'Annex 2 EHV charges'!$A:$O,2,0))</f>
        <v/>
      </c>
      <c r="C223" s="92" t="str">
        <f>IF($A223="","",VLOOKUP($A223,'Annex 2 EHV charges'!$A:$O,3,0))</f>
        <v/>
      </c>
      <c r="D223" s="91" t="str">
        <f>IF($A223="","",VLOOKUP($A223,'Annex 2 EHV charges'!$A:$O,7,0))</f>
        <v/>
      </c>
      <c r="E223" s="96" t="str">
        <f>IFERROR(IF(VLOOKUP($A223,'Annex 2 EHV charges'!$A:$O,8,FALSE)=0,"",VLOOKUP($A223,'Annex 2 EHV charges'!$A:$O,8,FALSE)),"")</f>
        <v/>
      </c>
      <c r="F223" s="97" t="str">
        <f>IFERROR(IF(VLOOKUP($A223,'Annex 2 EHV charges'!$A:$O,9,FALSE)=0,"",VLOOKUP($A223,'Annex 2 EHV charges'!$A:$O,9,FALSE)),"")</f>
        <v/>
      </c>
      <c r="G223" s="98" t="str">
        <f>IFERROR(IF(VLOOKUP($A223,'Annex 2 EHV charges'!$A:$O,10,FALSE)=0,"",VLOOKUP($A223,'Annex 2 EHV charges'!$A:$O,10,FALSE)),"")</f>
        <v/>
      </c>
      <c r="H223" s="98" t="str">
        <f>IFERROR(IF(VLOOKUP($A223,'Annex 2 EHV charges'!$A:$O,11,FALSE)=0,"",VLOOKUP($A223,'Annex 2 EHV charges'!$A:$O,11,FALSE)),"")</f>
        <v/>
      </c>
    </row>
    <row r="224" spans="1:8" x14ac:dyDescent="0.2">
      <c r="A224" s="91" t="str">
        <f t="array" ref="A224">IFERROR(INDEX('Annex 2 EHV charges'!$A$10:$A$259, MATCH(0, IF(ISBLANK('Annex 2 EHV charges'!$A$10:$A$259),1, COUNTIF(A$4:$A223, 'Annex 2 EHV charges'!$A$10:$A$259)), 0)),"")</f>
        <v/>
      </c>
      <c r="B224" s="91" t="str">
        <f>IF($A224="","",VLOOKUP($A224,'Annex 2 EHV charges'!$A:$O,2,0))</f>
        <v/>
      </c>
      <c r="C224" s="92" t="str">
        <f>IF($A224="","",VLOOKUP($A224,'Annex 2 EHV charges'!$A:$O,3,0))</f>
        <v/>
      </c>
      <c r="D224" s="91" t="str">
        <f>IF($A224="","",VLOOKUP($A224,'Annex 2 EHV charges'!$A:$O,7,0))</f>
        <v/>
      </c>
      <c r="E224" s="96" t="str">
        <f>IFERROR(IF(VLOOKUP($A224,'Annex 2 EHV charges'!$A:$O,8,FALSE)=0,"",VLOOKUP($A224,'Annex 2 EHV charges'!$A:$O,8,FALSE)),"")</f>
        <v/>
      </c>
      <c r="F224" s="97" t="str">
        <f>IFERROR(IF(VLOOKUP($A224,'Annex 2 EHV charges'!$A:$O,9,FALSE)=0,"",VLOOKUP($A224,'Annex 2 EHV charges'!$A:$O,9,FALSE)),"")</f>
        <v/>
      </c>
      <c r="G224" s="98" t="str">
        <f>IFERROR(IF(VLOOKUP($A224,'Annex 2 EHV charges'!$A:$O,10,FALSE)=0,"",VLOOKUP($A224,'Annex 2 EHV charges'!$A:$O,10,FALSE)),"")</f>
        <v/>
      </c>
      <c r="H224" s="98" t="str">
        <f>IFERROR(IF(VLOOKUP($A224,'Annex 2 EHV charges'!$A:$O,11,FALSE)=0,"",VLOOKUP($A224,'Annex 2 EHV charges'!$A:$O,11,FALSE)),"")</f>
        <v/>
      </c>
    </row>
    <row r="225" spans="1:8" x14ac:dyDescent="0.2">
      <c r="A225" s="91" t="str">
        <f t="array" ref="A225">IFERROR(INDEX('Annex 2 EHV charges'!$A$10:$A$259, MATCH(0, IF(ISBLANK('Annex 2 EHV charges'!$A$10:$A$259),1, COUNTIF(A$4:$A224, 'Annex 2 EHV charges'!$A$10:$A$259)), 0)),"")</f>
        <v/>
      </c>
      <c r="B225" s="91" t="str">
        <f>IF($A225="","",VLOOKUP($A225,'Annex 2 EHV charges'!$A:$O,2,0))</f>
        <v/>
      </c>
      <c r="C225" s="92" t="str">
        <f>IF($A225="","",VLOOKUP($A225,'Annex 2 EHV charges'!$A:$O,3,0))</f>
        <v/>
      </c>
      <c r="D225" s="91" t="str">
        <f>IF($A225="","",VLOOKUP($A225,'Annex 2 EHV charges'!$A:$O,7,0))</f>
        <v/>
      </c>
      <c r="E225" s="96" t="str">
        <f>IFERROR(IF(VLOOKUP($A225,'Annex 2 EHV charges'!$A:$O,8,FALSE)=0,"",VLOOKUP($A225,'Annex 2 EHV charges'!$A:$O,8,FALSE)),"")</f>
        <v/>
      </c>
      <c r="F225" s="97" t="str">
        <f>IFERROR(IF(VLOOKUP($A225,'Annex 2 EHV charges'!$A:$O,9,FALSE)=0,"",VLOOKUP($A225,'Annex 2 EHV charges'!$A:$O,9,FALSE)),"")</f>
        <v/>
      </c>
      <c r="G225" s="98" t="str">
        <f>IFERROR(IF(VLOOKUP($A225,'Annex 2 EHV charges'!$A:$O,10,FALSE)=0,"",VLOOKUP($A225,'Annex 2 EHV charges'!$A:$O,10,FALSE)),"")</f>
        <v/>
      </c>
      <c r="H225" s="98" t="str">
        <f>IFERROR(IF(VLOOKUP($A225,'Annex 2 EHV charges'!$A:$O,11,FALSE)=0,"",VLOOKUP($A225,'Annex 2 EHV charges'!$A:$O,11,FALSE)),"")</f>
        <v/>
      </c>
    </row>
    <row r="226" spans="1:8" x14ac:dyDescent="0.2">
      <c r="A226" s="91" t="str">
        <f t="array" ref="A226">IFERROR(INDEX('Annex 2 EHV charges'!$A$10:$A$259, MATCH(0, IF(ISBLANK('Annex 2 EHV charges'!$A$10:$A$259),1, COUNTIF(A$4:$A225, 'Annex 2 EHV charges'!$A$10:$A$259)), 0)),"")</f>
        <v/>
      </c>
      <c r="B226" s="91" t="str">
        <f>IF($A226="","",VLOOKUP($A226,'Annex 2 EHV charges'!$A:$O,2,0))</f>
        <v/>
      </c>
      <c r="C226" s="92" t="str">
        <f>IF($A226="","",VLOOKUP($A226,'Annex 2 EHV charges'!$A:$O,3,0))</f>
        <v/>
      </c>
      <c r="D226" s="91" t="str">
        <f>IF($A226="","",VLOOKUP($A226,'Annex 2 EHV charges'!$A:$O,7,0))</f>
        <v/>
      </c>
      <c r="E226" s="96" t="str">
        <f>IFERROR(IF(VLOOKUP($A226,'Annex 2 EHV charges'!$A:$O,8,FALSE)=0,"",VLOOKUP($A226,'Annex 2 EHV charges'!$A:$O,8,FALSE)),"")</f>
        <v/>
      </c>
      <c r="F226" s="97" t="str">
        <f>IFERROR(IF(VLOOKUP($A226,'Annex 2 EHV charges'!$A:$O,9,FALSE)=0,"",VLOOKUP($A226,'Annex 2 EHV charges'!$A:$O,9,FALSE)),"")</f>
        <v/>
      </c>
      <c r="G226" s="98" t="str">
        <f>IFERROR(IF(VLOOKUP($A226,'Annex 2 EHV charges'!$A:$O,10,FALSE)=0,"",VLOOKUP($A226,'Annex 2 EHV charges'!$A:$O,10,FALSE)),"")</f>
        <v/>
      </c>
      <c r="H226" s="98" t="str">
        <f>IFERROR(IF(VLOOKUP($A226,'Annex 2 EHV charges'!$A:$O,11,FALSE)=0,"",VLOOKUP($A226,'Annex 2 EHV charges'!$A:$O,11,FALSE)),"")</f>
        <v/>
      </c>
    </row>
    <row r="227" spans="1:8" x14ac:dyDescent="0.2">
      <c r="A227" s="91" t="str">
        <f t="array" ref="A227">IFERROR(INDEX('Annex 2 EHV charges'!$A$10:$A$259, MATCH(0, IF(ISBLANK('Annex 2 EHV charges'!$A$10:$A$259),1, COUNTIF(A$4:$A226, 'Annex 2 EHV charges'!$A$10:$A$259)), 0)),"")</f>
        <v/>
      </c>
      <c r="B227" s="91" t="str">
        <f>IF($A227="","",VLOOKUP($A227,'Annex 2 EHV charges'!$A:$O,2,0))</f>
        <v/>
      </c>
      <c r="C227" s="92" t="str">
        <f>IF($A227="","",VLOOKUP($A227,'Annex 2 EHV charges'!$A:$O,3,0))</f>
        <v/>
      </c>
      <c r="D227" s="91" t="str">
        <f>IF($A227="","",VLOOKUP($A227,'Annex 2 EHV charges'!$A:$O,7,0))</f>
        <v/>
      </c>
      <c r="E227" s="96" t="str">
        <f>IFERROR(IF(VLOOKUP($A227,'Annex 2 EHV charges'!$A:$O,8,FALSE)=0,"",VLOOKUP($A227,'Annex 2 EHV charges'!$A:$O,8,FALSE)),"")</f>
        <v/>
      </c>
      <c r="F227" s="97" t="str">
        <f>IFERROR(IF(VLOOKUP($A227,'Annex 2 EHV charges'!$A:$O,9,FALSE)=0,"",VLOOKUP($A227,'Annex 2 EHV charges'!$A:$O,9,FALSE)),"")</f>
        <v/>
      </c>
      <c r="G227" s="98" t="str">
        <f>IFERROR(IF(VLOOKUP($A227,'Annex 2 EHV charges'!$A:$O,10,FALSE)=0,"",VLOOKUP($A227,'Annex 2 EHV charges'!$A:$O,10,FALSE)),"")</f>
        <v/>
      </c>
      <c r="H227" s="98" t="str">
        <f>IFERROR(IF(VLOOKUP($A227,'Annex 2 EHV charges'!$A:$O,11,FALSE)=0,"",VLOOKUP($A227,'Annex 2 EHV charges'!$A:$O,11,FALSE)),"")</f>
        <v/>
      </c>
    </row>
    <row r="228" spans="1:8" x14ac:dyDescent="0.2">
      <c r="A228" s="91" t="str">
        <f t="array" ref="A228">IFERROR(INDEX('Annex 2 EHV charges'!$A$10:$A$259, MATCH(0, IF(ISBLANK('Annex 2 EHV charges'!$A$10:$A$259),1, COUNTIF(A$4:$A227, 'Annex 2 EHV charges'!$A$10:$A$259)), 0)),"")</f>
        <v/>
      </c>
      <c r="B228" s="91" t="str">
        <f>IF($A228="","",VLOOKUP($A228,'Annex 2 EHV charges'!$A:$O,2,0))</f>
        <v/>
      </c>
      <c r="C228" s="92" t="str">
        <f>IF($A228="","",VLOOKUP($A228,'Annex 2 EHV charges'!$A:$O,3,0))</f>
        <v/>
      </c>
      <c r="D228" s="91" t="str">
        <f>IF($A228="","",VLOOKUP($A228,'Annex 2 EHV charges'!$A:$O,7,0))</f>
        <v/>
      </c>
      <c r="E228" s="96" t="str">
        <f>IFERROR(IF(VLOOKUP($A228,'Annex 2 EHV charges'!$A:$O,8,FALSE)=0,"",VLOOKUP($A228,'Annex 2 EHV charges'!$A:$O,8,FALSE)),"")</f>
        <v/>
      </c>
      <c r="F228" s="97" t="str">
        <f>IFERROR(IF(VLOOKUP($A228,'Annex 2 EHV charges'!$A:$O,9,FALSE)=0,"",VLOOKUP($A228,'Annex 2 EHV charges'!$A:$O,9,FALSE)),"")</f>
        <v/>
      </c>
      <c r="G228" s="98" t="str">
        <f>IFERROR(IF(VLOOKUP($A228,'Annex 2 EHV charges'!$A:$O,10,FALSE)=0,"",VLOOKUP($A228,'Annex 2 EHV charges'!$A:$O,10,FALSE)),"")</f>
        <v/>
      </c>
      <c r="H228" s="98" t="str">
        <f>IFERROR(IF(VLOOKUP($A228,'Annex 2 EHV charges'!$A:$O,11,FALSE)=0,"",VLOOKUP($A228,'Annex 2 EHV charges'!$A:$O,11,FALSE)),"")</f>
        <v/>
      </c>
    </row>
    <row r="229" spans="1:8" x14ac:dyDescent="0.2">
      <c r="A229" s="91" t="str">
        <f t="array" ref="A229">IFERROR(INDEX('Annex 2 EHV charges'!$A$10:$A$259, MATCH(0, IF(ISBLANK('Annex 2 EHV charges'!$A$10:$A$259),1, COUNTIF(A$4:$A228, 'Annex 2 EHV charges'!$A$10:$A$259)), 0)),"")</f>
        <v/>
      </c>
      <c r="B229" s="91" t="str">
        <f>IF($A229="","",VLOOKUP($A229,'Annex 2 EHV charges'!$A:$O,2,0))</f>
        <v/>
      </c>
      <c r="C229" s="92" t="str">
        <f>IF($A229="","",VLOOKUP($A229,'Annex 2 EHV charges'!$A:$O,3,0))</f>
        <v/>
      </c>
      <c r="D229" s="91" t="str">
        <f>IF($A229="","",VLOOKUP($A229,'Annex 2 EHV charges'!$A:$O,7,0))</f>
        <v/>
      </c>
      <c r="E229" s="96" t="str">
        <f>IFERROR(IF(VLOOKUP($A229,'Annex 2 EHV charges'!$A:$O,8,FALSE)=0,"",VLOOKUP($A229,'Annex 2 EHV charges'!$A:$O,8,FALSE)),"")</f>
        <v/>
      </c>
      <c r="F229" s="97" t="str">
        <f>IFERROR(IF(VLOOKUP($A229,'Annex 2 EHV charges'!$A:$O,9,FALSE)=0,"",VLOOKUP($A229,'Annex 2 EHV charges'!$A:$O,9,FALSE)),"")</f>
        <v/>
      </c>
      <c r="G229" s="98" t="str">
        <f>IFERROR(IF(VLOOKUP($A229,'Annex 2 EHV charges'!$A:$O,10,FALSE)=0,"",VLOOKUP($A229,'Annex 2 EHV charges'!$A:$O,10,FALSE)),"")</f>
        <v/>
      </c>
      <c r="H229" s="98" t="str">
        <f>IFERROR(IF(VLOOKUP($A229,'Annex 2 EHV charges'!$A:$O,11,FALSE)=0,"",VLOOKUP($A229,'Annex 2 EHV charges'!$A:$O,11,FALSE)),"")</f>
        <v/>
      </c>
    </row>
    <row r="230" spans="1:8" x14ac:dyDescent="0.2">
      <c r="A230" s="91" t="str">
        <f t="array" ref="A230">IFERROR(INDEX('Annex 2 EHV charges'!$A$10:$A$259, MATCH(0, IF(ISBLANK('Annex 2 EHV charges'!$A$10:$A$259),1, COUNTIF(A$4:$A229, 'Annex 2 EHV charges'!$A$10:$A$259)), 0)),"")</f>
        <v/>
      </c>
      <c r="B230" s="91" t="str">
        <f>IF($A230="","",VLOOKUP($A230,'Annex 2 EHV charges'!$A:$O,2,0))</f>
        <v/>
      </c>
      <c r="C230" s="92" t="str">
        <f>IF($A230="","",VLOOKUP($A230,'Annex 2 EHV charges'!$A:$O,3,0))</f>
        <v/>
      </c>
      <c r="D230" s="91" t="str">
        <f>IF($A230="","",VLOOKUP($A230,'Annex 2 EHV charges'!$A:$O,7,0))</f>
        <v/>
      </c>
      <c r="E230" s="96" t="str">
        <f>IFERROR(IF(VLOOKUP($A230,'Annex 2 EHV charges'!$A:$O,8,FALSE)=0,"",VLOOKUP($A230,'Annex 2 EHV charges'!$A:$O,8,FALSE)),"")</f>
        <v/>
      </c>
      <c r="F230" s="97" t="str">
        <f>IFERROR(IF(VLOOKUP($A230,'Annex 2 EHV charges'!$A:$O,9,FALSE)=0,"",VLOOKUP($A230,'Annex 2 EHV charges'!$A:$O,9,FALSE)),"")</f>
        <v/>
      </c>
      <c r="G230" s="98" t="str">
        <f>IFERROR(IF(VLOOKUP($A230,'Annex 2 EHV charges'!$A:$O,10,FALSE)=0,"",VLOOKUP($A230,'Annex 2 EHV charges'!$A:$O,10,FALSE)),"")</f>
        <v/>
      </c>
      <c r="H230" s="98" t="str">
        <f>IFERROR(IF(VLOOKUP($A230,'Annex 2 EHV charges'!$A:$O,11,FALSE)=0,"",VLOOKUP($A230,'Annex 2 EHV charges'!$A:$O,11,FALSE)),"")</f>
        <v/>
      </c>
    </row>
    <row r="231" spans="1:8" x14ac:dyDescent="0.2">
      <c r="A231" s="91" t="str">
        <f t="array" ref="A231">IFERROR(INDEX('Annex 2 EHV charges'!$A$10:$A$259, MATCH(0, IF(ISBLANK('Annex 2 EHV charges'!$A$10:$A$259),1, COUNTIF(A$4:$A230, 'Annex 2 EHV charges'!$A$10:$A$259)), 0)),"")</f>
        <v/>
      </c>
      <c r="B231" s="91" t="str">
        <f>IF($A231="","",VLOOKUP($A231,'Annex 2 EHV charges'!$A:$O,2,0))</f>
        <v/>
      </c>
      <c r="C231" s="92" t="str">
        <f>IF($A231="","",VLOOKUP($A231,'Annex 2 EHV charges'!$A:$O,3,0))</f>
        <v/>
      </c>
      <c r="D231" s="91" t="str">
        <f>IF($A231="","",VLOOKUP($A231,'Annex 2 EHV charges'!$A:$O,7,0))</f>
        <v/>
      </c>
      <c r="E231" s="96" t="str">
        <f>IFERROR(IF(VLOOKUP($A231,'Annex 2 EHV charges'!$A:$O,8,FALSE)=0,"",VLOOKUP($A231,'Annex 2 EHV charges'!$A:$O,8,FALSE)),"")</f>
        <v/>
      </c>
      <c r="F231" s="97" t="str">
        <f>IFERROR(IF(VLOOKUP($A231,'Annex 2 EHV charges'!$A:$O,9,FALSE)=0,"",VLOOKUP($A231,'Annex 2 EHV charges'!$A:$O,9,FALSE)),"")</f>
        <v/>
      </c>
      <c r="G231" s="98" t="str">
        <f>IFERROR(IF(VLOOKUP($A231,'Annex 2 EHV charges'!$A:$O,10,FALSE)=0,"",VLOOKUP($A231,'Annex 2 EHV charges'!$A:$O,10,FALSE)),"")</f>
        <v/>
      </c>
      <c r="H231" s="98" t="str">
        <f>IFERROR(IF(VLOOKUP($A231,'Annex 2 EHV charges'!$A:$O,11,FALSE)=0,"",VLOOKUP($A231,'Annex 2 EHV charges'!$A:$O,11,FALSE)),"")</f>
        <v/>
      </c>
    </row>
    <row r="232" spans="1:8" x14ac:dyDescent="0.2">
      <c r="A232" s="91" t="str">
        <f t="array" ref="A232">IFERROR(INDEX('Annex 2 EHV charges'!$A$10:$A$259, MATCH(0, IF(ISBLANK('Annex 2 EHV charges'!$A$10:$A$259),1, COUNTIF(A$4:$A231, 'Annex 2 EHV charges'!$A$10:$A$259)), 0)),"")</f>
        <v/>
      </c>
      <c r="B232" s="91" t="str">
        <f>IF($A232="","",VLOOKUP($A232,'Annex 2 EHV charges'!$A:$O,2,0))</f>
        <v/>
      </c>
      <c r="C232" s="92" t="str">
        <f>IF($A232="","",VLOOKUP($A232,'Annex 2 EHV charges'!$A:$O,3,0))</f>
        <v/>
      </c>
      <c r="D232" s="91" t="str">
        <f>IF($A232="","",VLOOKUP($A232,'Annex 2 EHV charges'!$A:$O,7,0))</f>
        <v/>
      </c>
      <c r="E232" s="96" t="str">
        <f>IFERROR(IF(VLOOKUP($A232,'Annex 2 EHV charges'!$A:$O,8,FALSE)=0,"",VLOOKUP($A232,'Annex 2 EHV charges'!$A:$O,8,FALSE)),"")</f>
        <v/>
      </c>
      <c r="F232" s="97" t="str">
        <f>IFERROR(IF(VLOOKUP($A232,'Annex 2 EHV charges'!$A:$O,9,FALSE)=0,"",VLOOKUP($A232,'Annex 2 EHV charges'!$A:$O,9,FALSE)),"")</f>
        <v/>
      </c>
      <c r="G232" s="98" t="str">
        <f>IFERROR(IF(VLOOKUP($A232,'Annex 2 EHV charges'!$A:$O,10,FALSE)=0,"",VLOOKUP($A232,'Annex 2 EHV charges'!$A:$O,10,FALSE)),"")</f>
        <v/>
      </c>
      <c r="H232" s="98" t="str">
        <f>IFERROR(IF(VLOOKUP($A232,'Annex 2 EHV charges'!$A:$O,11,FALSE)=0,"",VLOOKUP($A232,'Annex 2 EHV charges'!$A:$O,11,FALSE)),"")</f>
        <v/>
      </c>
    </row>
    <row r="233" spans="1:8" x14ac:dyDescent="0.2">
      <c r="A233" s="91" t="str">
        <f t="array" ref="A233">IFERROR(INDEX('Annex 2 EHV charges'!$A$10:$A$259, MATCH(0, IF(ISBLANK('Annex 2 EHV charges'!$A$10:$A$259),1, COUNTIF(A$4:$A232, 'Annex 2 EHV charges'!$A$10:$A$259)), 0)),"")</f>
        <v/>
      </c>
      <c r="B233" s="91" t="str">
        <f>IF($A233="","",VLOOKUP($A233,'Annex 2 EHV charges'!$A:$O,2,0))</f>
        <v/>
      </c>
      <c r="C233" s="92" t="str">
        <f>IF($A233="","",VLOOKUP($A233,'Annex 2 EHV charges'!$A:$O,3,0))</f>
        <v/>
      </c>
      <c r="D233" s="91" t="str">
        <f>IF($A233="","",VLOOKUP($A233,'Annex 2 EHV charges'!$A:$O,7,0))</f>
        <v/>
      </c>
      <c r="E233" s="96" t="str">
        <f>IFERROR(IF(VLOOKUP($A233,'Annex 2 EHV charges'!$A:$O,8,FALSE)=0,"",VLOOKUP($A233,'Annex 2 EHV charges'!$A:$O,8,FALSE)),"")</f>
        <v/>
      </c>
      <c r="F233" s="97" t="str">
        <f>IFERROR(IF(VLOOKUP($A233,'Annex 2 EHV charges'!$A:$O,9,FALSE)=0,"",VLOOKUP($A233,'Annex 2 EHV charges'!$A:$O,9,FALSE)),"")</f>
        <v/>
      </c>
      <c r="G233" s="98" t="str">
        <f>IFERROR(IF(VLOOKUP($A233,'Annex 2 EHV charges'!$A:$O,10,FALSE)=0,"",VLOOKUP($A233,'Annex 2 EHV charges'!$A:$O,10,FALSE)),"")</f>
        <v/>
      </c>
      <c r="H233" s="98" t="str">
        <f>IFERROR(IF(VLOOKUP($A233,'Annex 2 EHV charges'!$A:$O,11,FALSE)=0,"",VLOOKUP($A233,'Annex 2 EHV charges'!$A:$O,11,FALSE)),"")</f>
        <v/>
      </c>
    </row>
    <row r="234" spans="1:8" x14ac:dyDescent="0.2">
      <c r="A234" s="91" t="str">
        <f t="array" ref="A234">IFERROR(INDEX('Annex 2 EHV charges'!$A$10:$A$259, MATCH(0, IF(ISBLANK('Annex 2 EHV charges'!$A$10:$A$259),1, COUNTIF(A$4:$A233, 'Annex 2 EHV charges'!$A$10:$A$259)), 0)),"")</f>
        <v/>
      </c>
      <c r="B234" s="91" t="str">
        <f>IF($A234="","",VLOOKUP($A234,'Annex 2 EHV charges'!$A:$O,2,0))</f>
        <v/>
      </c>
      <c r="C234" s="92" t="str">
        <f>IF($A234="","",VLOOKUP($A234,'Annex 2 EHV charges'!$A:$O,3,0))</f>
        <v/>
      </c>
      <c r="D234" s="91" t="str">
        <f>IF($A234="","",VLOOKUP($A234,'Annex 2 EHV charges'!$A:$O,7,0))</f>
        <v/>
      </c>
      <c r="E234" s="96" t="str">
        <f>IFERROR(IF(VLOOKUP($A234,'Annex 2 EHV charges'!$A:$O,8,FALSE)=0,"",VLOOKUP($A234,'Annex 2 EHV charges'!$A:$O,8,FALSE)),"")</f>
        <v/>
      </c>
      <c r="F234" s="97" t="str">
        <f>IFERROR(IF(VLOOKUP($A234,'Annex 2 EHV charges'!$A:$O,9,FALSE)=0,"",VLOOKUP($A234,'Annex 2 EHV charges'!$A:$O,9,FALSE)),"")</f>
        <v/>
      </c>
      <c r="G234" s="98" t="str">
        <f>IFERROR(IF(VLOOKUP($A234,'Annex 2 EHV charges'!$A:$O,10,FALSE)=0,"",VLOOKUP($A234,'Annex 2 EHV charges'!$A:$O,10,FALSE)),"")</f>
        <v/>
      </c>
      <c r="H234" s="98" t="str">
        <f>IFERROR(IF(VLOOKUP($A234,'Annex 2 EHV charges'!$A:$O,11,FALSE)=0,"",VLOOKUP($A234,'Annex 2 EHV charges'!$A:$O,11,FALSE)),"")</f>
        <v/>
      </c>
    </row>
    <row r="235" spans="1:8" x14ac:dyDescent="0.2">
      <c r="A235" s="91" t="str">
        <f t="array" ref="A235">IFERROR(INDEX('Annex 2 EHV charges'!$A$10:$A$259, MATCH(0, IF(ISBLANK('Annex 2 EHV charges'!$A$10:$A$259),1, COUNTIF(A$4:$A234, 'Annex 2 EHV charges'!$A$10:$A$259)), 0)),"")</f>
        <v/>
      </c>
      <c r="B235" s="91" t="str">
        <f>IF($A235="","",VLOOKUP($A235,'Annex 2 EHV charges'!$A:$O,2,0))</f>
        <v/>
      </c>
      <c r="C235" s="92" t="str">
        <f>IF($A235="","",VLOOKUP($A235,'Annex 2 EHV charges'!$A:$O,3,0))</f>
        <v/>
      </c>
      <c r="D235" s="91" t="str">
        <f>IF($A235="","",VLOOKUP($A235,'Annex 2 EHV charges'!$A:$O,7,0))</f>
        <v/>
      </c>
      <c r="E235" s="96" t="str">
        <f>IFERROR(IF(VLOOKUP($A235,'Annex 2 EHV charges'!$A:$O,8,FALSE)=0,"",VLOOKUP($A235,'Annex 2 EHV charges'!$A:$O,8,FALSE)),"")</f>
        <v/>
      </c>
      <c r="F235" s="97" t="str">
        <f>IFERROR(IF(VLOOKUP($A235,'Annex 2 EHV charges'!$A:$O,9,FALSE)=0,"",VLOOKUP($A235,'Annex 2 EHV charges'!$A:$O,9,FALSE)),"")</f>
        <v/>
      </c>
      <c r="G235" s="98" t="str">
        <f>IFERROR(IF(VLOOKUP($A235,'Annex 2 EHV charges'!$A:$O,10,FALSE)=0,"",VLOOKUP($A235,'Annex 2 EHV charges'!$A:$O,10,FALSE)),"")</f>
        <v/>
      </c>
      <c r="H235" s="98" t="str">
        <f>IFERROR(IF(VLOOKUP($A235,'Annex 2 EHV charges'!$A:$O,11,FALSE)=0,"",VLOOKUP($A235,'Annex 2 EHV charges'!$A:$O,11,FALSE)),"")</f>
        <v/>
      </c>
    </row>
    <row r="236" spans="1:8" x14ac:dyDescent="0.2">
      <c r="A236" s="91" t="str">
        <f t="array" ref="A236">IFERROR(INDEX('Annex 2 EHV charges'!$A$10:$A$259, MATCH(0, IF(ISBLANK('Annex 2 EHV charges'!$A$10:$A$259),1, COUNTIF(A$4:$A235, 'Annex 2 EHV charges'!$A$10:$A$259)), 0)),"")</f>
        <v/>
      </c>
      <c r="B236" s="91" t="str">
        <f>IF($A236="","",VLOOKUP($A236,'Annex 2 EHV charges'!$A:$O,2,0))</f>
        <v/>
      </c>
      <c r="C236" s="92" t="str">
        <f>IF($A236="","",VLOOKUP($A236,'Annex 2 EHV charges'!$A:$O,3,0))</f>
        <v/>
      </c>
      <c r="D236" s="91" t="str">
        <f>IF($A236="","",VLOOKUP($A236,'Annex 2 EHV charges'!$A:$O,7,0))</f>
        <v/>
      </c>
      <c r="E236" s="96" t="str">
        <f>IFERROR(IF(VLOOKUP($A236,'Annex 2 EHV charges'!$A:$O,8,FALSE)=0,"",VLOOKUP($A236,'Annex 2 EHV charges'!$A:$O,8,FALSE)),"")</f>
        <v/>
      </c>
      <c r="F236" s="97" t="str">
        <f>IFERROR(IF(VLOOKUP($A236,'Annex 2 EHV charges'!$A:$O,9,FALSE)=0,"",VLOOKUP($A236,'Annex 2 EHV charges'!$A:$O,9,FALSE)),"")</f>
        <v/>
      </c>
      <c r="G236" s="98" t="str">
        <f>IFERROR(IF(VLOOKUP($A236,'Annex 2 EHV charges'!$A:$O,10,FALSE)=0,"",VLOOKUP($A236,'Annex 2 EHV charges'!$A:$O,10,FALSE)),"")</f>
        <v/>
      </c>
      <c r="H236" s="98" t="str">
        <f>IFERROR(IF(VLOOKUP($A236,'Annex 2 EHV charges'!$A:$O,11,FALSE)=0,"",VLOOKUP($A236,'Annex 2 EHV charges'!$A:$O,11,FALSE)),"")</f>
        <v/>
      </c>
    </row>
    <row r="237" spans="1:8" x14ac:dyDescent="0.2">
      <c r="A237" s="91" t="str">
        <f t="array" ref="A237">IFERROR(INDEX('Annex 2 EHV charges'!$A$10:$A$259, MATCH(0, IF(ISBLANK('Annex 2 EHV charges'!$A$10:$A$259),1, COUNTIF(A$4:$A236, 'Annex 2 EHV charges'!$A$10:$A$259)), 0)),"")</f>
        <v/>
      </c>
      <c r="B237" s="91" t="str">
        <f>IF($A237="","",VLOOKUP($A237,'Annex 2 EHV charges'!$A:$O,2,0))</f>
        <v/>
      </c>
      <c r="C237" s="92" t="str">
        <f>IF($A237="","",VLOOKUP($A237,'Annex 2 EHV charges'!$A:$O,3,0))</f>
        <v/>
      </c>
      <c r="D237" s="91" t="str">
        <f>IF($A237="","",VLOOKUP($A237,'Annex 2 EHV charges'!$A:$O,7,0))</f>
        <v/>
      </c>
      <c r="E237" s="96" t="str">
        <f>IFERROR(IF(VLOOKUP($A237,'Annex 2 EHV charges'!$A:$O,8,FALSE)=0,"",VLOOKUP($A237,'Annex 2 EHV charges'!$A:$O,8,FALSE)),"")</f>
        <v/>
      </c>
      <c r="F237" s="97" t="str">
        <f>IFERROR(IF(VLOOKUP($A237,'Annex 2 EHV charges'!$A:$O,9,FALSE)=0,"",VLOOKUP($A237,'Annex 2 EHV charges'!$A:$O,9,FALSE)),"")</f>
        <v/>
      </c>
      <c r="G237" s="98" t="str">
        <f>IFERROR(IF(VLOOKUP($A237,'Annex 2 EHV charges'!$A:$O,10,FALSE)=0,"",VLOOKUP($A237,'Annex 2 EHV charges'!$A:$O,10,FALSE)),"")</f>
        <v/>
      </c>
      <c r="H237" s="98" t="str">
        <f>IFERROR(IF(VLOOKUP($A237,'Annex 2 EHV charges'!$A:$O,11,FALSE)=0,"",VLOOKUP($A237,'Annex 2 EHV charges'!$A:$O,11,FALSE)),"")</f>
        <v/>
      </c>
    </row>
    <row r="238" spans="1:8" x14ac:dyDescent="0.2">
      <c r="A238" s="91" t="str">
        <f t="array" ref="A238">IFERROR(INDEX('Annex 2 EHV charges'!$A$10:$A$259, MATCH(0, IF(ISBLANK('Annex 2 EHV charges'!$A$10:$A$259),1, COUNTIF(A$4:$A237, 'Annex 2 EHV charges'!$A$10:$A$259)), 0)),"")</f>
        <v/>
      </c>
      <c r="B238" s="91" t="str">
        <f>IF($A238="","",VLOOKUP($A238,'Annex 2 EHV charges'!$A:$O,2,0))</f>
        <v/>
      </c>
      <c r="C238" s="92" t="str">
        <f>IF($A238="","",VLOOKUP($A238,'Annex 2 EHV charges'!$A:$O,3,0))</f>
        <v/>
      </c>
      <c r="D238" s="91" t="str">
        <f>IF($A238="","",VLOOKUP($A238,'Annex 2 EHV charges'!$A:$O,7,0))</f>
        <v/>
      </c>
      <c r="E238" s="96" t="str">
        <f>IFERROR(IF(VLOOKUP($A238,'Annex 2 EHV charges'!$A:$O,8,FALSE)=0,"",VLOOKUP($A238,'Annex 2 EHV charges'!$A:$O,8,FALSE)),"")</f>
        <v/>
      </c>
      <c r="F238" s="97" t="str">
        <f>IFERROR(IF(VLOOKUP($A238,'Annex 2 EHV charges'!$A:$O,9,FALSE)=0,"",VLOOKUP($A238,'Annex 2 EHV charges'!$A:$O,9,FALSE)),"")</f>
        <v/>
      </c>
      <c r="G238" s="98" t="str">
        <f>IFERROR(IF(VLOOKUP($A238,'Annex 2 EHV charges'!$A:$O,10,FALSE)=0,"",VLOOKUP($A238,'Annex 2 EHV charges'!$A:$O,10,FALSE)),"")</f>
        <v/>
      </c>
      <c r="H238" s="98" t="str">
        <f>IFERROR(IF(VLOOKUP($A238,'Annex 2 EHV charges'!$A:$O,11,FALSE)=0,"",VLOOKUP($A238,'Annex 2 EHV charges'!$A:$O,11,FALSE)),"")</f>
        <v/>
      </c>
    </row>
    <row r="239" spans="1:8" x14ac:dyDescent="0.2">
      <c r="A239" s="91" t="str">
        <f t="array" ref="A239">IFERROR(INDEX('Annex 2 EHV charges'!$A$10:$A$259, MATCH(0, IF(ISBLANK('Annex 2 EHV charges'!$A$10:$A$259),1, COUNTIF(A$4:$A238, 'Annex 2 EHV charges'!$A$10:$A$259)), 0)),"")</f>
        <v/>
      </c>
      <c r="B239" s="91" t="str">
        <f>IF($A239="","",VLOOKUP($A239,'Annex 2 EHV charges'!$A:$O,2,0))</f>
        <v/>
      </c>
      <c r="C239" s="92" t="str">
        <f>IF($A239="","",VLOOKUP($A239,'Annex 2 EHV charges'!$A:$O,3,0))</f>
        <v/>
      </c>
      <c r="D239" s="91" t="str">
        <f>IF($A239="","",VLOOKUP($A239,'Annex 2 EHV charges'!$A:$O,7,0))</f>
        <v/>
      </c>
      <c r="E239" s="96" t="str">
        <f>IFERROR(IF(VLOOKUP($A239,'Annex 2 EHV charges'!$A:$O,8,FALSE)=0,"",VLOOKUP($A239,'Annex 2 EHV charges'!$A:$O,8,FALSE)),"")</f>
        <v/>
      </c>
      <c r="F239" s="97" t="str">
        <f>IFERROR(IF(VLOOKUP($A239,'Annex 2 EHV charges'!$A:$O,9,FALSE)=0,"",VLOOKUP($A239,'Annex 2 EHV charges'!$A:$O,9,FALSE)),"")</f>
        <v/>
      </c>
      <c r="G239" s="98" t="str">
        <f>IFERROR(IF(VLOOKUP($A239,'Annex 2 EHV charges'!$A:$O,10,FALSE)=0,"",VLOOKUP($A239,'Annex 2 EHV charges'!$A:$O,10,FALSE)),"")</f>
        <v/>
      </c>
      <c r="H239" s="98" t="str">
        <f>IFERROR(IF(VLOOKUP($A239,'Annex 2 EHV charges'!$A:$O,11,FALSE)=0,"",VLOOKUP($A239,'Annex 2 EHV charges'!$A:$O,11,FALSE)),"")</f>
        <v/>
      </c>
    </row>
    <row r="240" spans="1:8" x14ac:dyDescent="0.2">
      <c r="A240" s="91" t="str">
        <f t="array" ref="A240">IFERROR(INDEX('Annex 2 EHV charges'!$A$10:$A$259, MATCH(0, IF(ISBLANK('Annex 2 EHV charges'!$A$10:$A$259),1, COUNTIF(A$4:$A239, 'Annex 2 EHV charges'!$A$10:$A$259)), 0)),"")</f>
        <v/>
      </c>
      <c r="B240" s="91" t="str">
        <f>IF($A240="","",VLOOKUP($A240,'Annex 2 EHV charges'!$A:$O,2,0))</f>
        <v/>
      </c>
      <c r="C240" s="92" t="str">
        <f>IF($A240="","",VLOOKUP($A240,'Annex 2 EHV charges'!$A:$O,3,0))</f>
        <v/>
      </c>
      <c r="D240" s="91" t="str">
        <f>IF($A240="","",VLOOKUP($A240,'Annex 2 EHV charges'!$A:$O,7,0))</f>
        <v/>
      </c>
      <c r="E240" s="96" t="str">
        <f>IFERROR(IF(VLOOKUP($A240,'Annex 2 EHV charges'!$A:$O,8,FALSE)=0,"",VLOOKUP($A240,'Annex 2 EHV charges'!$A:$O,8,FALSE)),"")</f>
        <v/>
      </c>
      <c r="F240" s="97" t="str">
        <f>IFERROR(IF(VLOOKUP($A240,'Annex 2 EHV charges'!$A:$O,9,FALSE)=0,"",VLOOKUP($A240,'Annex 2 EHV charges'!$A:$O,9,FALSE)),"")</f>
        <v/>
      </c>
      <c r="G240" s="98" t="str">
        <f>IFERROR(IF(VLOOKUP($A240,'Annex 2 EHV charges'!$A:$O,10,FALSE)=0,"",VLOOKUP($A240,'Annex 2 EHV charges'!$A:$O,10,FALSE)),"")</f>
        <v/>
      </c>
      <c r="H240" s="98" t="str">
        <f>IFERROR(IF(VLOOKUP($A240,'Annex 2 EHV charges'!$A:$O,11,FALSE)=0,"",VLOOKUP($A240,'Annex 2 EHV charges'!$A:$O,11,FALSE)),"")</f>
        <v/>
      </c>
    </row>
    <row r="241" spans="1:8" x14ac:dyDescent="0.2">
      <c r="A241" s="91" t="str">
        <f t="array" ref="A241">IFERROR(INDEX('Annex 2 EHV charges'!$A$10:$A$259, MATCH(0, IF(ISBLANK('Annex 2 EHV charges'!$A$10:$A$259),1, COUNTIF(A$4:$A240, 'Annex 2 EHV charges'!$A$10:$A$259)), 0)),"")</f>
        <v/>
      </c>
      <c r="B241" s="91" t="str">
        <f>IF($A241="","",VLOOKUP($A241,'Annex 2 EHV charges'!$A:$O,2,0))</f>
        <v/>
      </c>
      <c r="C241" s="92" t="str">
        <f>IF($A241="","",VLOOKUP($A241,'Annex 2 EHV charges'!$A:$O,3,0))</f>
        <v/>
      </c>
      <c r="D241" s="91" t="str">
        <f>IF($A241="","",VLOOKUP($A241,'Annex 2 EHV charges'!$A:$O,7,0))</f>
        <v/>
      </c>
      <c r="E241" s="96" t="str">
        <f>IFERROR(IF(VLOOKUP($A241,'Annex 2 EHV charges'!$A:$O,8,FALSE)=0,"",VLOOKUP($A241,'Annex 2 EHV charges'!$A:$O,8,FALSE)),"")</f>
        <v/>
      </c>
      <c r="F241" s="97" t="str">
        <f>IFERROR(IF(VLOOKUP($A241,'Annex 2 EHV charges'!$A:$O,9,FALSE)=0,"",VLOOKUP($A241,'Annex 2 EHV charges'!$A:$O,9,FALSE)),"")</f>
        <v/>
      </c>
      <c r="G241" s="98" t="str">
        <f>IFERROR(IF(VLOOKUP($A241,'Annex 2 EHV charges'!$A:$O,10,FALSE)=0,"",VLOOKUP($A241,'Annex 2 EHV charges'!$A:$O,10,FALSE)),"")</f>
        <v/>
      </c>
      <c r="H241" s="98" t="str">
        <f>IFERROR(IF(VLOOKUP($A241,'Annex 2 EHV charges'!$A:$O,11,FALSE)=0,"",VLOOKUP($A241,'Annex 2 EHV charges'!$A:$O,11,FALSE)),"")</f>
        <v/>
      </c>
    </row>
    <row r="242" spans="1:8" x14ac:dyDescent="0.2">
      <c r="A242" s="91" t="str">
        <f t="array" ref="A242">IFERROR(INDEX('Annex 2 EHV charges'!$A$10:$A$259, MATCH(0, IF(ISBLANK('Annex 2 EHV charges'!$A$10:$A$259),1, COUNTIF(A$4:$A241, 'Annex 2 EHV charges'!$A$10:$A$259)), 0)),"")</f>
        <v/>
      </c>
      <c r="B242" s="91" t="str">
        <f>IF($A242="","",VLOOKUP($A242,'Annex 2 EHV charges'!$A:$O,2,0))</f>
        <v/>
      </c>
      <c r="C242" s="92" t="str">
        <f>IF($A242="","",VLOOKUP($A242,'Annex 2 EHV charges'!$A:$O,3,0))</f>
        <v/>
      </c>
      <c r="D242" s="91" t="str">
        <f>IF($A242="","",VLOOKUP($A242,'Annex 2 EHV charges'!$A:$O,7,0))</f>
        <v/>
      </c>
      <c r="E242" s="96" t="str">
        <f>IFERROR(IF(VLOOKUP($A242,'Annex 2 EHV charges'!$A:$O,8,FALSE)=0,"",VLOOKUP($A242,'Annex 2 EHV charges'!$A:$O,8,FALSE)),"")</f>
        <v/>
      </c>
      <c r="F242" s="97" t="str">
        <f>IFERROR(IF(VLOOKUP($A242,'Annex 2 EHV charges'!$A:$O,9,FALSE)=0,"",VLOOKUP($A242,'Annex 2 EHV charges'!$A:$O,9,FALSE)),"")</f>
        <v/>
      </c>
      <c r="G242" s="98" t="str">
        <f>IFERROR(IF(VLOOKUP($A242,'Annex 2 EHV charges'!$A:$O,10,FALSE)=0,"",VLOOKUP($A242,'Annex 2 EHV charges'!$A:$O,10,FALSE)),"")</f>
        <v/>
      </c>
      <c r="H242" s="98" t="str">
        <f>IFERROR(IF(VLOOKUP($A242,'Annex 2 EHV charges'!$A:$O,11,FALSE)=0,"",VLOOKUP($A242,'Annex 2 EHV charges'!$A:$O,11,FALSE)),"")</f>
        <v/>
      </c>
    </row>
    <row r="243" spans="1:8" x14ac:dyDescent="0.2">
      <c r="A243" s="91" t="str">
        <f t="array" ref="A243">IFERROR(INDEX('Annex 2 EHV charges'!$A$10:$A$259, MATCH(0, IF(ISBLANK('Annex 2 EHV charges'!$A$10:$A$259),1, COUNTIF(A$4:$A242, 'Annex 2 EHV charges'!$A$10:$A$259)), 0)),"")</f>
        <v/>
      </c>
      <c r="B243" s="91" t="str">
        <f>IF($A243="","",VLOOKUP($A243,'Annex 2 EHV charges'!$A:$O,2,0))</f>
        <v/>
      </c>
      <c r="C243" s="92" t="str">
        <f>IF($A243="","",VLOOKUP($A243,'Annex 2 EHV charges'!$A:$O,3,0))</f>
        <v/>
      </c>
      <c r="D243" s="91" t="str">
        <f>IF($A243="","",VLOOKUP($A243,'Annex 2 EHV charges'!$A:$O,7,0))</f>
        <v/>
      </c>
      <c r="E243" s="96" t="str">
        <f>IFERROR(IF(VLOOKUP($A243,'Annex 2 EHV charges'!$A:$O,8,FALSE)=0,"",VLOOKUP($A243,'Annex 2 EHV charges'!$A:$O,8,FALSE)),"")</f>
        <v/>
      </c>
      <c r="F243" s="97" t="str">
        <f>IFERROR(IF(VLOOKUP($A243,'Annex 2 EHV charges'!$A:$O,9,FALSE)=0,"",VLOOKUP($A243,'Annex 2 EHV charges'!$A:$O,9,FALSE)),"")</f>
        <v/>
      </c>
      <c r="G243" s="98" t="str">
        <f>IFERROR(IF(VLOOKUP($A243,'Annex 2 EHV charges'!$A:$O,10,FALSE)=0,"",VLOOKUP($A243,'Annex 2 EHV charges'!$A:$O,10,FALSE)),"")</f>
        <v/>
      </c>
      <c r="H243" s="98" t="str">
        <f>IFERROR(IF(VLOOKUP($A243,'Annex 2 EHV charges'!$A:$O,11,FALSE)=0,"",VLOOKUP($A243,'Annex 2 EHV charges'!$A:$O,11,FALSE)),"")</f>
        <v/>
      </c>
    </row>
    <row r="244" spans="1:8" x14ac:dyDescent="0.2">
      <c r="A244" s="91" t="str">
        <f t="array" ref="A244">IFERROR(INDEX('Annex 2 EHV charges'!$A$10:$A$259, MATCH(0, IF(ISBLANK('Annex 2 EHV charges'!$A$10:$A$259),1, COUNTIF(A$4:$A243, 'Annex 2 EHV charges'!$A$10:$A$259)), 0)),"")</f>
        <v/>
      </c>
      <c r="B244" s="91" t="str">
        <f>IF($A244="","",VLOOKUP($A244,'Annex 2 EHV charges'!$A:$O,2,0))</f>
        <v/>
      </c>
      <c r="C244" s="92" t="str">
        <f>IF($A244="","",VLOOKUP($A244,'Annex 2 EHV charges'!$A:$O,3,0))</f>
        <v/>
      </c>
      <c r="D244" s="91" t="str">
        <f>IF($A244="","",VLOOKUP($A244,'Annex 2 EHV charges'!$A:$O,7,0))</f>
        <v/>
      </c>
      <c r="E244" s="96" t="str">
        <f>IFERROR(IF(VLOOKUP($A244,'Annex 2 EHV charges'!$A:$O,8,FALSE)=0,"",VLOOKUP($A244,'Annex 2 EHV charges'!$A:$O,8,FALSE)),"")</f>
        <v/>
      </c>
      <c r="F244" s="97" t="str">
        <f>IFERROR(IF(VLOOKUP($A244,'Annex 2 EHV charges'!$A:$O,9,FALSE)=0,"",VLOOKUP($A244,'Annex 2 EHV charges'!$A:$O,9,FALSE)),"")</f>
        <v/>
      </c>
      <c r="G244" s="98" t="str">
        <f>IFERROR(IF(VLOOKUP($A244,'Annex 2 EHV charges'!$A:$O,10,FALSE)=0,"",VLOOKUP($A244,'Annex 2 EHV charges'!$A:$O,10,FALSE)),"")</f>
        <v/>
      </c>
      <c r="H244" s="98" t="str">
        <f>IFERROR(IF(VLOOKUP($A244,'Annex 2 EHV charges'!$A:$O,11,FALSE)=0,"",VLOOKUP($A244,'Annex 2 EHV charges'!$A:$O,11,FALSE)),"")</f>
        <v/>
      </c>
    </row>
    <row r="245" spans="1:8" x14ac:dyDescent="0.2">
      <c r="A245" s="91" t="str">
        <f t="array" ref="A245">IFERROR(INDEX('Annex 2 EHV charges'!$A$10:$A$259, MATCH(0, IF(ISBLANK('Annex 2 EHV charges'!$A$10:$A$259),1, COUNTIF(A$4:$A244, 'Annex 2 EHV charges'!$A$10:$A$259)), 0)),"")</f>
        <v/>
      </c>
      <c r="B245" s="91" t="str">
        <f>IF($A245="","",VLOOKUP($A245,'Annex 2 EHV charges'!$A:$O,2,0))</f>
        <v/>
      </c>
      <c r="C245" s="92" t="str">
        <f>IF($A245="","",VLOOKUP($A245,'Annex 2 EHV charges'!$A:$O,3,0))</f>
        <v/>
      </c>
      <c r="D245" s="91" t="str">
        <f>IF($A245="","",VLOOKUP($A245,'Annex 2 EHV charges'!$A:$O,7,0))</f>
        <v/>
      </c>
      <c r="E245" s="96" t="str">
        <f>IFERROR(IF(VLOOKUP($A245,'Annex 2 EHV charges'!$A:$O,8,FALSE)=0,"",VLOOKUP($A245,'Annex 2 EHV charges'!$A:$O,8,FALSE)),"")</f>
        <v/>
      </c>
      <c r="F245" s="97" t="str">
        <f>IFERROR(IF(VLOOKUP($A245,'Annex 2 EHV charges'!$A:$O,9,FALSE)=0,"",VLOOKUP($A245,'Annex 2 EHV charges'!$A:$O,9,FALSE)),"")</f>
        <v/>
      </c>
      <c r="G245" s="98" t="str">
        <f>IFERROR(IF(VLOOKUP($A245,'Annex 2 EHV charges'!$A:$O,10,FALSE)=0,"",VLOOKUP($A245,'Annex 2 EHV charges'!$A:$O,10,FALSE)),"")</f>
        <v/>
      </c>
      <c r="H245" s="98" t="str">
        <f>IFERROR(IF(VLOOKUP($A245,'Annex 2 EHV charges'!$A:$O,11,FALSE)=0,"",VLOOKUP($A245,'Annex 2 EHV charges'!$A:$O,11,FALSE)),"")</f>
        <v/>
      </c>
    </row>
    <row r="246" spans="1:8" x14ac:dyDescent="0.2">
      <c r="A246" s="91" t="str">
        <f t="array" ref="A246">IFERROR(INDEX('Annex 2 EHV charges'!$A$10:$A$259, MATCH(0, IF(ISBLANK('Annex 2 EHV charges'!$A$10:$A$259),1, COUNTIF(A$4:$A245, 'Annex 2 EHV charges'!$A$10:$A$259)), 0)),"")</f>
        <v/>
      </c>
      <c r="B246" s="91" t="str">
        <f>IF($A246="","",VLOOKUP($A246,'Annex 2 EHV charges'!$A:$O,2,0))</f>
        <v/>
      </c>
      <c r="C246" s="92" t="str">
        <f>IF($A246="","",VLOOKUP($A246,'Annex 2 EHV charges'!$A:$O,3,0))</f>
        <v/>
      </c>
      <c r="D246" s="91" t="str">
        <f>IF($A246="","",VLOOKUP($A246,'Annex 2 EHV charges'!$A:$O,7,0))</f>
        <v/>
      </c>
      <c r="E246" s="96" t="str">
        <f>IFERROR(IF(VLOOKUP($A246,'Annex 2 EHV charges'!$A:$O,8,FALSE)=0,"",VLOOKUP($A246,'Annex 2 EHV charges'!$A:$O,8,FALSE)),"")</f>
        <v/>
      </c>
      <c r="F246" s="97" t="str">
        <f>IFERROR(IF(VLOOKUP($A246,'Annex 2 EHV charges'!$A:$O,9,FALSE)=0,"",VLOOKUP($A246,'Annex 2 EHV charges'!$A:$O,9,FALSE)),"")</f>
        <v/>
      </c>
      <c r="G246" s="98" t="str">
        <f>IFERROR(IF(VLOOKUP($A246,'Annex 2 EHV charges'!$A:$O,10,FALSE)=0,"",VLOOKUP($A246,'Annex 2 EHV charges'!$A:$O,10,FALSE)),"")</f>
        <v/>
      </c>
      <c r="H246" s="98" t="str">
        <f>IFERROR(IF(VLOOKUP($A246,'Annex 2 EHV charges'!$A:$O,11,FALSE)=0,"",VLOOKUP($A246,'Annex 2 EHV charges'!$A:$O,11,FALSE)),"")</f>
        <v/>
      </c>
    </row>
    <row r="247" spans="1:8" x14ac:dyDescent="0.2">
      <c r="A247" s="91" t="str">
        <f t="array" ref="A247">IFERROR(INDEX('Annex 2 EHV charges'!$A$10:$A$259, MATCH(0, IF(ISBLANK('Annex 2 EHV charges'!$A$10:$A$259),1, COUNTIF(A$4:$A246, 'Annex 2 EHV charges'!$A$10:$A$259)), 0)),"")</f>
        <v/>
      </c>
      <c r="B247" s="91" t="str">
        <f>IF($A247="","",VLOOKUP($A247,'Annex 2 EHV charges'!$A:$O,2,0))</f>
        <v/>
      </c>
      <c r="C247" s="92" t="str">
        <f>IF($A247="","",VLOOKUP($A247,'Annex 2 EHV charges'!$A:$O,3,0))</f>
        <v/>
      </c>
      <c r="D247" s="91" t="str">
        <f>IF($A247="","",VLOOKUP($A247,'Annex 2 EHV charges'!$A:$O,7,0))</f>
        <v/>
      </c>
      <c r="E247" s="96" t="str">
        <f>IFERROR(IF(VLOOKUP($A247,'Annex 2 EHV charges'!$A:$O,8,FALSE)=0,"",VLOOKUP($A247,'Annex 2 EHV charges'!$A:$O,8,FALSE)),"")</f>
        <v/>
      </c>
      <c r="F247" s="97" t="str">
        <f>IFERROR(IF(VLOOKUP($A247,'Annex 2 EHV charges'!$A:$O,9,FALSE)=0,"",VLOOKUP($A247,'Annex 2 EHV charges'!$A:$O,9,FALSE)),"")</f>
        <v/>
      </c>
      <c r="G247" s="98" t="str">
        <f>IFERROR(IF(VLOOKUP($A247,'Annex 2 EHV charges'!$A:$O,10,FALSE)=0,"",VLOOKUP($A247,'Annex 2 EHV charges'!$A:$O,10,FALSE)),"")</f>
        <v/>
      </c>
      <c r="H247" s="98" t="str">
        <f>IFERROR(IF(VLOOKUP($A247,'Annex 2 EHV charges'!$A:$O,11,FALSE)=0,"",VLOOKUP($A247,'Annex 2 EHV charges'!$A:$O,11,FALSE)),"")</f>
        <v/>
      </c>
    </row>
    <row r="248" spans="1:8" x14ac:dyDescent="0.2">
      <c r="A248" s="91" t="str">
        <f t="array" ref="A248">IFERROR(INDEX('Annex 2 EHV charges'!$A$10:$A$259, MATCH(0, IF(ISBLANK('Annex 2 EHV charges'!$A$10:$A$259),1, COUNTIF(A$4:$A247, 'Annex 2 EHV charges'!$A$10:$A$259)), 0)),"")</f>
        <v/>
      </c>
      <c r="B248" s="91" t="str">
        <f>IF($A248="","",VLOOKUP($A248,'Annex 2 EHV charges'!$A:$O,2,0))</f>
        <v/>
      </c>
      <c r="C248" s="92" t="str">
        <f>IF($A248="","",VLOOKUP($A248,'Annex 2 EHV charges'!$A:$O,3,0))</f>
        <v/>
      </c>
      <c r="D248" s="91" t="str">
        <f>IF($A248="","",VLOOKUP($A248,'Annex 2 EHV charges'!$A:$O,7,0))</f>
        <v/>
      </c>
      <c r="E248" s="96" t="str">
        <f>IFERROR(IF(VLOOKUP($A248,'Annex 2 EHV charges'!$A:$O,8,FALSE)=0,"",VLOOKUP($A248,'Annex 2 EHV charges'!$A:$O,8,FALSE)),"")</f>
        <v/>
      </c>
      <c r="F248" s="97" t="str">
        <f>IFERROR(IF(VLOOKUP($A248,'Annex 2 EHV charges'!$A:$O,9,FALSE)=0,"",VLOOKUP($A248,'Annex 2 EHV charges'!$A:$O,9,FALSE)),"")</f>
        <v/>
      </c>
      <c r="G248" s="98" t="str">
        <f>IFERROR(IF(VLOOKUP($A248,'Annex 2 EHV charges'!$A:$O,10,FALSE)=0,"",VLOOKUP($A248,'Annex 2 EHV charges'!$A:$O,10,FALSE)),"")</f>
        <v/>
      </c>
      <c r="H248" s="98" t="str">
        <f>IFERROR(IF(VLOOKUP($A248,'Annex 2 EHV charges'!$A:$O,11,FALSE)=0,"",VLOOKUP($A248,'Annex 2 EHV charges'!$A:$O,11,FALSE)),"")</f>
        <v/>
      </c>
    </row>
    <row r="249" spans="1:8" x14ac:dyDescent="0.2">
      <c r="A249" s="91" t="str">
        <f t="array" ref="A249">IFERROR(INDEX('Annex 2 EHV charges'!$A$10:$A$259, MATCH(0, IF(ISBLANK('Annex 2 EHV charges'!$A$10:$A$259),1, COUNTIF(A$4:$A248, 'Annex 2 EHV charges'!$A$10:$A$259)), 0)),"")</f>
        <v/>
      </c>
      <c r="B249" s="91" t="str">
        <f>IF($A249="","",VLOOKUP($A249,'Annex 2 EHV charges'!$A:$O,2,0))</f>
        <v/>
      </c>
      <c r="C249" s="92" t="str">
        <f>IF($A249="","",VLOOKUP($A249,'Annex 2 EHV charges'!$A:$O,3,0))</f>
        <v/>
      </c>
      <c r="D249" s="91" t="str">
        <f>IF($A249="","",VLOOKUP($A249,'Annex 2 EHV charges'!$A:$O,7,0))</f>
        <v/>
      </c>
      <c r="E249" s="96" t="str">
        <f>IFERROR(IF(VLOOKUP($A249,'Annex 2 EHV charges'!$A:$O,8,FALSE)=0,"",VLOOKUP($A249,'Annex 2 EHV charges'!$A:$O,8,FALSE)),"")</f>
        <v/>
      </c>
      <c r="F249" s="97" t="str">
        <f>IFERROR(IF(VLOOKUP($A249,'Annex 2 EHV charges'!$A:$O,9,FALSE)=0,"",VLOOKUP($A249,'Annex 2 EHV charges'!$A:$O,9,FALSE)),"")</f>
        <v/>
      </c>
      <c r="G249" s="98" t="str">
        <f>IFERROR(IF(VLOOKUP($A249,'Annex 2 EHV charges'!$A:$O,10,FALSE)=0,"",VLOOKUP($A249,'Annex 2 EHV charges'!$A:$O,10,FALSE)),"")</f>
        <v/>
      </c>
      <c r="H249" s="98" t="str">
        <f>IFERROR(IF(VLOOKUP($A249,'Annex 2 EHV charges'!$A:$O,11,FALSE)=0,"",VLOOKUP($A249,'Annex 2 EHV charges'!$A:$O,11,FALSE)),"")</f>
        <v/>
      </c>
    </row>
    <row r="250" spans="1:8" x14ac:dyDescent="0.2">
      <c r="A250" s="91" t="str">
        <f t="array" ref="A250">IFERROR(INDEX('Annex 2 EHV charges'!$A$10:$A$259, MATCH(0, IF(ISBLANK('Annex 2 EHV charges'!$A$10:$A$259),1, COUNTIF(A$4:$A249, 'Annex 2 EHV charges'!$A$10:$A$259)), 0)),"")</f>
        <v/>
      </c>
      <c r="B250" s="91" t="str">
        <f>IF($A250="","",VLOOKUP($A250,'Annex 2 EHV charges'!$A:$O,2,0))</f>
        <v/>
      </c>
      <c r="C250" s="92" t="str">
        <f>IF($A250="","",VLOOKUP($A250,'Annex 2 EHV charges'!$A:$O,3,0))</f>
        <v/>
      </c>
      <c r="D250" s="91" t="str">
        <f>IF($A250="","",VLOOKUP($A250,'Annex 2 EHV charges'!$A:$O,7,0))</f>
        <v/>
      </c>
      <c r="E250" s="96" t="str">
        <f>IFERROR(IF(VLOOKUP($A250,'Annex 2 EHV charges'!$A:$O,8,FALSE)=0,"",VLOOKUP($A250,'Annex 2 EHV charges'!$A:$O,8,FALSE)),"")</f>
        <v/>
      </c>
      <c r="F250" s="97" t="str">
        <f>IFERROR(IF(VLOOKUP($A250,'Annex 2 EHV charges'!$A:$O,9,FALSE)=0,"",VLOOKUP($A250,'Annex 2 EHV charges'!$A:$O,9,FALSE)),"")</f>
        <v/>
      </c>
      <c r="G250" s="98" t="str">
        <f>IFERROR(IF(VLOOKUP($A250,'Annex 2 EHV charges'!$A:$O,10,FALSE)=0,"",VLOOKUP($A250,'Annex 2 EHV charges'!$A:$O,10,FALSE)),"")</f>
        <v/>
      </c>
      <c r="H250" s="98" t="str">
        <f>IFERROR(IF(VLOOKUP($A250,'Annex 2 EHV charges'!$A:$O,11,FALSE)=0,"",VLOOKUP($A250,'Annex 2 EHV charges'!$A:$O,11,FALSE)),"")</f>
        <v/>
      </c>
    </row>
    <row r="251" spans="1:8" x14ac:dyDescent="0.2">
      <c r="A251" s="91" t="str">
        <f t="array" ref="A251">IFERROR(INDEX('Annex 2 EHV charges'!$A$10:$A$259, MATCH(0, IF(ISBLANK('Annex 2 EHV charges'!$A$10:$A$259),1, COUNTIF(A$4:$A250, 'Annex 2 EHV charges'!$A$10:$A$259)), 0)),"")</f>
        <v/>
      </c>
      <c r="B251" s="91" t="str">
        <f>IF($A251="","",VLOOKUP($A251,'Annex 2 EHV charges'!$A:$O,2,0))</f>
        <v/>
      </c>
      <c r="C251" s="92" t="str">
        <f>IF($A251="","",VLOOKUP($A251,'Annex 2 EHV charges'!$A:$O,3,0))</f>
        <v/>
      </c>
      <c r="D251" s="91" t="str">
        <f>IF($A251="","",VLOOKUP($A251,'Annex 2 EHV charges'!$A:$O,7,0))</f>
        <v/>
      </c>
      <c r="E251" s="96" t="str">
        <f>IFERROR(IF(VLOOKUP($A251,'Annex 2 EHV charges'!$A:$O,8,FALSE)=0,"",VLOOKUP($A251,'Annex 2 EHV charges'!$A:$O,8,FALSE)),"")</f>
        <v/>
      </c>
      <c r="F251" s="97" t="str">
        <f>IFERROR(IF(VLOOKUP($A251,'Annex 2 EHV charges'!$A:$O,9,FALSE)=0,"",VLOOKUP($A251,'Annex 2 EHV charges'!$A:$O,9,FALSE)),"")</f>
        <v/>
      </c>
      <c r="G251" s="98" t="str">
        <f>IFERROR(IF(VLOOKUP($A251,'Annex 2 EHV charges'!$A:$O,10,FALSE)=0,"",VLOOKUP($A251,'Annex 2 EHV charges'!$A:$O,10,FALSE)),"")</f>
        <v/>
      </c>
      <c r="H251" s="98" t="str">
        <f>IFERROR(IF(VLOOKUP($A251,'Annex 2 EHV charges'!$A:$O,11,FALSE)=0,"",VLOOKUP($A251,'Annex 2 EHV charges'!$A:$O,11,FALSE)),"")</f>
        <v/>
      </c>
    </row>
    <row r="252" spans="1:8" x14ac:dyDescent="0.2">
      <c r="A252" s="91" t="str">
        <f t="array" ref="A252">IFERROR(INDEX('Annex 2 EHV charges'!$A$10:$A$259, MATCH(0, IF(ISBLANK('Annex 2 EHV charges'!$A$10:$A$259),1, COUNTIF(A$4:$A251, 'Annex 2 EHV charges'!$A$10:$A$259)), 0)),"")</f>
        <v/>
      </c>
      <c r="B252" s="91" t="str">
        <f>IF($A252="","",VLOOKUP($A252,'Annex 2 EHV charges'!$A:$O,2,0))</f>
        <v/>
      </c>
      <c r="C252" s="92" t="str">
        <f>IF($A252="","",VLOOKUP($A252,'Annex 2 EHV charges'!$A:$O,3,0))</f>
        <v/>
      </c>
      <c r="D252" s="91" t="str">
        <f>IF($A252="","",VLOOKUP($A252,'Annex 2 EHV charges'!$A:$O,7,0))</f>
        <v/>
      </c>
      <c r="E252" s="96" t="str">
        <f>IFERROR(IF(VLOOKUP($A252,'Annex 2 EHV charges'!$A:$O,8,FALSE)=0,"",VLOOKUP($A252,'Annex 2 EHV charges'!$A:$O,8,FALSE)),"")</f>
        <v/>
      </c>
      <c r="F252" s="97" t="str">
        <f>IFERROR(IF(VLOOKUP($A252,'Annex 2 EHV charges'!$A:$O,9,FALSE)=0,"",VLOOKUP($A252,'Annex 2 EHV charges'!$A:$O,9,FALSE)),"")</f>
        <v/>
      </c>
      <c r="G252" s="98" t="str">
        <f>IFERROR(IF(VLOOKUP($A252,'Annex 2 EHV charges'!$A:$O,10,FALSE)=0,"",VLOOKUP($A252,'Annex 2 EHV charges'!$A:$O,10,FALSE)),"")</f>
        <v/>
      </c>
      <c r="H252" s="98" t="str">
        <f>IFERROR(IF(VLOOKUP($A252,'Annex 2 EHV charges'!$A:$O,11,FALSE)=0,"",VLOOKUP($A252,'Annex 2 EHV charges'!$A:$O,11,FALSE)),"")</f>
        <v/>
      </c>
    </row>
    <row r="253" spans="1:8" x14ac:dyDescent="0.2">
      <c r="A253" s="91" t="str">
        <f t="array" ref="A253">IFERROR(INDEX('Annex 2 EHV charges'!$A$10:$A$259, MATCH(0, IF(ISBLANK('Annex 2 EHV charges'!$A$10:$A$259),1, COUNTIF(A$4:$A252, 'Annex 2 EHV charges'!$A$10:$A$259)), 0)),"")</f>
        <v/>
      </c>
      <c r="B253" s="91" t="str">
        <f>IF($A253="","",VLOOKUP($A253,'Annex 2 EHV charges'!$A:$O,2,0))</f>
        <v/>
      </c>
      <c r="C253" s="92" t="str">
        <f>IF($A253="","",VLOOKUP($A253,'Annex 2 EHV charges'!$A:$O,3,0))</f>
        <v/>
      </c>
      <c r="D253" s="91" t="str">
        <f>IF($A253="","",VLOOKUP($A253,'Annex 2 EHV charges'!$A:$O,7,0))</f>
        <v/>
      </c>
      <c r="E253" s="96" t="str">
        <f>IFERROR(IF(VLOOKUP($A253,'Annex 2 EHV charges'!$A:$O,8,FALSE)=0,"",VLOOKUP($A253,'Annex 2 EHV charges'!$A:$O,8,FALSE)),"")</f>
        <v/>
      </c>
      <c r="F253" s="97" t="str">
        <f>IFERROR(IF(VLOOKUP($A253,'Annex 2 EHV charges'!$A:$O,9,FALSE)=0,"",VLOOKUP($A253,'Annex 2 EHV charges'!$A:$O,9,FALSE)),"")</f>
        <v/>
      </c>
      <c r="G253" s="98" t="str">
        <f>IFERROR(IF(VLOOKUP($A253,'Annex 2 EHV charges'!$A:$O,10,FALSE)=0,"",VLOOKUP($A253,'Annex 2 EHV charges'!$A:$O,10,FALSE)),"")</f>
        <v/>
      </c>
      <c r="H253" s="98" t="str">
        <f>IFERROR(IF(VLOOKUP($A253,'Annex 2 EHV charges'!$A:$O,11,FALSE)=0,"",VLOOKUP($A253,'Annex 2 EHV charges'!$A:$O,11,FALSE)),"")</f>
        <v/>
      </c>
    </row>
    <row r="254" spans="1:8" x14ac:dyDescent="0.2">
      <c r="A254" s="91" t="str">
        <f t="array" ref="A254">IFERROR(INDEX('Annex 2 EHV charges'!$A$10:$A$259, MATCH(0, IF(ISBLANK('Annex 2 EHV charges'!$A$10:$A$259),1, COUNTIF(A$4:$A253, 'Annex 2 EHV charges'!$A$10:$A$259)), 0)),"")</f>
        <v/>
      </c>
      <c r="B254" s="91" t="str">
        <f>IF($A254="","",VLOOKUP($A254,'Annex 2 EHV charges'!$A:$O,2,0))</f>
        <v/>
      </c>
      <c r="C254" s="92" t="str">
        <f>IF($A254="","",VLOOKUP($A254,'Annex 2 EHV charges'!$A:$O,3,0))</f>
        <v/>
      </c>
      <c r="D254" s="91" t="str">
        <f>IF($A254="","",VLOOKUP($A254,'Annex 2 EHV charges'!$A:$O,7,0))</f>
        <v/>
      </c>
      <c r="E254" s="96" t="str">
        <f>IFERROR(IF(VLOOKUP($A254,'Annex 2 EHV charges'!$A:$O,8,FALSE)=0,"",VLOOKUP($A254,'Annex 2 EHV charges'!$A:$O,8,FALSE)),"")</f>
        <v/>
      </c>
      <c r="F254" s="97" t="str">
        <f>IFERROR(IF(VLOOKUP($A254,'Annex 2 EHV charges'!$A:$O,9,FALSE)=0,"",VLOOKUP($A254,'Annex 2 EHV charges'!$A:$O,9,FALSE)),"")</f>
        <v/>
      </c>
      <c r="G254" s="98" t="str">
        <f>IFERROR(IF(VLOOKUP($A254,'Annex 2 EHV charges'!$A:$O,10,FALSE)=0,"",VLOOKUP($A254,'Annex 2 EHV charges'!$A:$O,10,FALSE)),"")</f>
        <v/>
      </c>
      <c r="H254" s="98"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42" customWidth="1"/>
    <col min="2" max="2" width="8.7109375" style="42" customWidth="1"/>
    <col min="3" max="3" width="15.7109375" style="50" bestFit="1" customWidth="1"/>
    <col min="4" max="4" width="50.7109375" style="50" customWidth="1"/>
    <col min="5" max="5" width="14.7109375" style="51" customWidth="1"/>
    <col min="6" max="7" width="14.7109375" style="52" customWidth="1"/>
    <col min="8" max="8" width="14.7109375" style="42" customWidth="1"/>
    <col min="9" max="9" width="15.5703125" style="42" customWidth="1"/>
    <col min="10" max="16384" width="9.140625" style="42"/>
  </cols>
  <sheetData>
    <row r="1" spans="1:15" ht="66.75" customHeight="1" x14ac:dyDescent="0.2">
      <c r="A1" s="256" t="s">
        <v>67</v>
      </c>
      <c r="B1" s="256"/>
      <c r="C1" s="256"/>
      <c r="D1" s="256"/>
      <c r="E1" s="256"/>
      <c r="F1" s="256"/>
      <c r="G1" s="256"/>
      <c r="H1" s="256"/>
    </row>
    <row r="2" spans="1:15" s="43" customFormat="1" ht="25.5" customHeight="1" x14ac:dyDescent="0.2">
      <c r="A2" s="261" t="str">
        <f>Overview!B4&amp; " - Effective from "&amp;Overview!D4&amp;" - "&amp;Overview!E4&amp;" EDCM export charges"</f>
        <v>South Eastern Power Networks - Effective from 1 April 2021 - Final EDCM export charges</v>
      </c>
      <c r="B2" s="262"/>
      <c r="C2" s="262"/>
      <c r="D2" s="262"/>
      <c r="E2" s="262"/>
      <c r="F2" s="262"/>
      <c r="G2" s="262"/>
      <c r="H2" s="263"/>
    </row>
    <row r="3" spans="1:15" s="79" customFormat="1" ht="18" x14ac:dyDescent="0.2">
      <c r="A3" s="83"/>
      <c r="B3" s="83"/>
      <c r="C3" s="83"/>
      <c r="D3" s="84"/>
      <c r="E3" s="85"/>
      <c r="F3" s="85"/>
      <c r="G3" s="86"/>
      <c r="H3" s="86"/>
      <c r="I3" s="76"/>
      <c r="J3" s="76"/>
      <c r="K3" s="76"/>
      <c r="L3" s="76"/>
      <c r="M3" s="76"/>
      <c r="N3" s="76"/>
      <c r="O3" s="76"/>
    </row>
    <row r="4" spans="1:15" ht="60.75" customHeight="1" x14ac:dyDescent="0.2">
      <c r="A4" s="44" t="s">
        <v>53</v>
      </c>
      <c r="B4" s="45" t="s">
        <v>35</v>
      </c>
      <c r="C4" s="44" t="s">
        <v>37</v>
      </c>
      <c r="D4" s="46" t="s">
        <v>29</v>
      </c>
      <c r="E4" s="46" t="str">
        <f>'Annex 2 EHV charges'!L9</f>
        <v>Export
Super Red
unit charge
(p/kWh)</v>
      </c>
      <c r="F4" s="46" t="str">
        <f>'Annex 2 EHV charges'!M9</f>
        <v>Export
fixed charge
(p/day)</v>
      </c>
      <c r="G4" s="46" t="str">
        <f>'Annex 2 EHV charges'!N9</f>
        <v>Export
capacity charge
(p/kVA/day)</v>
      </c>
      <c r="H4" s="46" t="str">
        <f>'Annex 2 EHV charges'!O9</f>
        <v>Export
exceeded capacity charge
(p/kVA/day)</v>
      </c>
    </row>
    <row r="5" spans="1:15" ht="12.75" customHeight="1" x14ac:dyDescent="0.2">
      <c r="A5" s="92" t="str">
        <f t="array" ref="A5">IFERROR(INDEX('Annex 2 EHV charges'!$D$10:$D$259, MATCH(0, IF(ISBLANK('Annex 2 EHV charges'!$D$10:$D$259),1, COUNTIF(A$4:$A4, 'Annex 2 EHV charges'!$D$10:$D$259)), 0)),"")</f>
        <v>THAMEM</v>
      </c>
      <c r="B5" s="91">
        <f>IF($A5="","",VLOOKUP($A5,'Annex 2 EHV charges'!$D:$O,2,0))</f>
        <v>691</v>
      </c>
      <c r="C5" s="92" t="str">
        <f>IF($A5="","",VLOOKUP($A5,'Annex 2 EHV charges'!$D:$O,3,0))</f>
        <v>1900090876979
1900090876988</v>
      </c>
      <c r="D5" s="91" t="str">
        <f>IF($A5="","",VLOOKUP($A5,'Annex 2 EHV charges'!$D:$O,4,0))</f>
        <v>THAMEM</v>
      </c>
      <c r="E5" s="93" t="str">
        <f>IFERROR(IF(VLOOKUP($A5,'Annex 2 EHV charges'!$D:$O,9,FALSE)=0,"",VLOOKUP($A5,'Annex 2 EHV charges'!$D:$O,9,FALSE)),"")</f>
        <v/>
      </c>
      <c r="F5" s="94">
        <f>IFERROR(IF(VLOOKUP($A5,'Annex 2 EHV charges'!$D:$O,10,FALSE)=0,"",VLOOKUP($A5,'Annex 2 EHV charges'!$D:$O,10,FALSE)),"")</f>
        <v>2879.64</v>
      </c>
      <c r="G5" s="95">
        <f>IFERROR(IF(VLOOKUP($A5,'Annex 2 EHV charges'!$D:$O,11,FALSE)=0,"",VLOOKUP($A5,'Annex 2 EHV charges'!$D:$O,11,FALSE)),"")</f>
        <v>0.05</v>
      </c>
      <c r="H5" s="95">
        <f>IFERROR(IF(VLOOKUP($A5,'Annex 2 EHV charges'!$D:$O,12,FALSE)=0,"",VLOOKUP($A5,'Annex 2 EHV charges'!$D:$O,12,FALSE)),"")</f>
        <v>0.05</v>
      </c>
    </row>
    <row r="6" spans="1:15" ht="12.75" customHeight="1" x14ac:dyDescent="0.2">
      <c r="A6" s="92" t="str">
        <f t="array" ref="A6">IFERROR(INDEX('Annex 2 EHV charges'!$D$10:$D$259, MATCH(0, IF(ISBLANK('Annex 2 EHV charges'!$D$10:$D$259),1, COUNTIF(A$4:$A5, 'Annex 2 EHV charges'!$D$10:$D$259)), 0)),"")</f>
        <v>THAMES</v>
      </c>
      <c r="B6" s="91">
        <f>IF($A6="","",VLOOKUP($A6,'Annex 2 EHV charges'!$D:$O,2,0))</f>
        <v>732</v>
      </c>
      <c r="C6" s="92">
        <f>IF($A6="","",VLOOKUP($A6,'Annex 2 EHV charges'!$D:$O,3,0))</f>
        <v>1900060576611</v>
      </c>
      <c r="D6" s="91" t="str">
        <f>IF($A6="","",VLOOKUP($A6,'Annex 2 EHV charges'!$D:$O,4,0))</f>
        <v>THAMES</v>
      </c>
      <c r="E6" s="93" t="str">
        <f>IFERROR(IF(VLOOKUP($A6,'Annex 2 EHV charges'!$D:$O,9,FALSE)=0,"",VLOOKUP($A6,'Annex 2 EHV charges'!$D:$O,9,FALSE)),"")</f>
        <v/>
      </c>
      <c r="F6" s="94">
        <f>IFERROR(IF(VLOOKUP($A6,'Annex 2 EHV charges'!$D:$O,10,FALSE)=0,"",VLOOKUP($A6,'Annex 2 EHV charges'!$D:$O,10,FALSE)),"")</f>
        <v>1726.31</v>
      </c>
      <c r="G6" s="95">
        <f>IFERROR(IF(VLOOKUP($A6,'Annex 2 EHV charges'!$D:$O,11,FALSE)=0,"",VLOOKUP($A6,'Annex 2 EHV charges'!$D:$O,11,FALSE)),"")</f>
        <v>0.05</v>
      </c>
      <c r="H6" s="95">
        <f>IFERROR(IF(VLOOKUP($A6,'Annex 2 EHV charges'!$D:$O,12,FALSE)=0,"",VLOOKUP($A6,'Annex 2 EHV charges'!$D:$O,12,FALSE)),"")</f>
        <v>0.05</v>
      </c>
    </row>
    <row r="7" spans="1:15" ht="12.75" customHeight="1" x14ac:dyDescent="0.2">
      <c r="A7" s="92" t="str">
        <f t="array" ref="A7">IFERROR(INDEX('Annex 2 EHV charges'!$D$10:$D$259, MATCH(0, IF(ISBLANK('Annex 2 EHV charges'!$D$10:$D$259),1, COUNTIF(A$4:$A6, 'Annex 2 EHV charges'!$D$10:$D$259)), 0)),"")</f>
        <v>TWHK66</v>
      </c>
      <c r="B7" s="91">
        <f>IF($A7="","",VLOOKUP($A7,'Annex 2 EHV charges'!$D:$O,2,0))</f>
        <v>692</v>
      </c>
      <c r="C7" s="92">
        <f>IF($A7="","",VLOOKUP($A7,'Annex 2 EHV charges'!$D:$O,3,0))</f>
        <v>1900091206194</v>
      </c>
      <c r="D7" s="91" t="str">
        <f>IF($A7="","",VLOOKUP($A7,'Annex 2 EHV charges'!$D:$O,4,0))</f>
        <v>TWHK66</v>
      </c>
      <c r="E7" s="93">
        <f>IFERROR(IF(VLOOKUP($A7,'Annex 2 EHV charges'!$D:$O,9,FALSE)=0,"",VLOOKUP($A7,'Annex 2 EHV charges'!$D:$O,9,FALSE)),"")</f>
        <v>-2.9569999999999999</v>
      </c>
      <c r="F7" s="94">
        <f>IFERROR(IF(VLOOKUP($A7,'Annex 2 EHV charges'!$D:$O,10,FALSE)=0,"",VLOOKUP($A7,'Annex 2 EHV charges'!$D:$O,10,FALSE)),"")</f>
        <v>30.18</v>
      </c>
      <c r="G7" s="95">
        <f>IFERROR(IF(VLOOKUP($A7,'Annex 2 EHV charges'!$D:$O,11,FALSE)=0,"",VLOOKUP($A7,'Annex 2 EHV charges'!$D:$O,11,FALSE)),"")</f>
        <v>0.05</v>
      </c>
      <c r="H7" s="95">
        <f>IFERROR(IF(VLOOKUP($A7,'Annex 2 EHV charges'!$D:$O,12,FALSE)=0,"",VLOOKUP($A7,'Annex 2 EHV charges'!$D:$O,12,FALSE)),"")</f>
        <v>0.05</v>
      </c>
    </row>
    <row r="8" spans="1:15" ht="12.75" customHeight="1" x14ac:dyDescent="0.2">
      <c r="A8" s="92" t="str">
        <f t="array" ref="A8">IFERROR(INDEX('Annex 2 EHV charges'!$D$10:$D$259, MATCH(0, IF(ISBLANK('Annex 2 EHV charges'!$D$10:$D$259),1, COUNTIF(A$4:$A7, 'Annex 2 EHV charges'!$D$10:$D$259)), 0)),"")</f>
        <v>ASHBYS</v>
      </c>
      <c r="B8" s="91">
        <f>IF($A8="","",VLOOKUP($A8,'Annex 2 EHV charges'!$D:$O,2,0))</f>
        <v>741</v>
      </c>
      <c r="C8" s="92">
        <f>IF($A8="","",VLOOKUP($A8,'Annex 2 EHV charges'!$D:$O,3,0))</f>
        <v>1900091216972</v>
      </c>
      <c r="D8" s="91" t="str">
        <f>IF($A8="","",VLOOKUP($A8,'Annex 2 EHV charges'!$D:$O,4,0))</f>
        <v>ASHBYS</v>
      </c>
      <c r="E8" s="93" t="str">
        <f>IFERROR(IF(VLOOKUP($A8,'Annex 2 EHV charges'!$D:$O,9,FALSE)=0,"",VLOOKUP($A8,'Annex 2 EHV charges'!$D:$O,9,FALSE)),"")</f>
        <v/>
      </c>
      <c r="F8" s="94">
        <f>IFERROR(IF(VLOOKUP($A8,'Annex 2 EHV charges'!$D:$O,10,FALSE)=0,"",VLOOKUP($A8,'Annex 2 EHV charges'!$D:$O,10,FALSE)),"")</f>
        <v>982.39</v>
      </c>
      <c r="G8" s="95">
        <f>IFERROR(IF(VLOOKUP($A8,'Annex 2 EHV charges'!$D:$O,11,FALSE)=0,"",VLOOKUP($A8,'Annex 2 EHV charges'!$D:$O,11,FALSE)),"")</f>
        <v>0.05</v>
      </c>
      <c r="H8" s="95">
        <f>IFERROR(IF(VLOOKUP($A8,'Annex 2 EHV charges'!$D:$O,12,FALSE)=0,"",VLOOKUP($A8,'Annex 2 EHV charges'!$D:$O,12,FALSE)),"")</f>
        <v>0.05</v>
      </c>
    </row>
    <row r="9" spans="1:15" ht="12.75" customHeight="1" x14ac:dyDescent="0.2">
      <c r="A9" s="92" t="str">
        <f t="array" ref="A9">IFERROR(INDEX('Annex 2 EHV charges'!$D$10:$D$259, MATCH(0, IF(ISBLANK('Annex 2 EHV charges'!$D$10:$D$259),1, COUNTIF(A$4:$A8, 'Annex 2 EHV charges'!$D$10:$D$259)), 0)),"")</f>
        <v>ASHGEN</v>
      </c>
      <c r="B9" s="91">
        <f>IF($A9="","",VLOOKUP($A9,'Annex 2 EHV charges'!$D:$O,2,0))</f>
        <v>734</v>
      </c>
      <c r="C9" s="92">
        <f>IF($A9="","",VLOOKUP($A9,'Annex 2 EHV charges'!$D:$O,3,0))</f>
        <v>1900090978875</v>
      </c>
      <c r="D9" s="91" t="str">
        <f>IF($A9="","",VLOOKUP($A9,'Annex 2 EHV charges'!$D:$O,4,0))</f>
        <v>ASHGEN</v>
      </c>
      <c r="E9" s="93" t="str">
        <f>IFERROR(IF(VLOOKUP($A9,'Annex 2 EHV charges'!$D:$O,9,FALSE)=0,"",VLOOKUP($A9,'Annex 2 EHV charges'!$D:$O,9,FALSE)),"")</f>
        <v/>
      </c>
      <c r="F9" s="94">
        <f>IFERROR(IF(VLOOKUP($A9,'Annex 2 EHV charges'!$D:$O,10,FALSE)=0,"",VLOOKUP($A9,'Annex 2 EHV charges'!$D:$O,10,FALSE)),"")</f>
        <v>2756.96</v>
      </c>
      <c r="G9" s="95">
        <f>IFERROR(IF(VLOOKUP($A9,'Annex 2 EHV charges'!$D:$O,11,FALSE)=0,"",VLOOKUP($A9,'Annex 2 EHV charges'!$D:$O,11,FALSE)),"")</f>
        <v>0.05</v>
      </c>
      <c r="H9" s="95">
        <f>IFERROR(IF(VLOOKUP($A9,'Annex 2 EHV charges'!$D:$O,12,FALSE)=0,"",VLOOKUP($A9,'Annex 2 EHV charges'!$D:$O,12,FALSE)),"")</f>
        <v>0.05</v>
      </c>
    </row>
    <row r="10" spans="1:15" ht="12.75" customHeight="1" x14ac:dyDescent="0.2">
      <c r="A10" s="92" t="str">
        <f t="array" ref="A10">IFERROR(INDEX('Annex 2 EHV charges'!$D$10:$D$259, MATCH(0, IF(ISBLANK('Annex 2 EHV charges'!$D$10:$D$259),1, COUNTIF(A$4:$A9, 'Annex 2 EHV charges'!$D$10:$D$259)), 0)),"")</f>
        <v>AYLESF</v>
      </c>
      <c r="B10" s="91">
        <f>IF($A10="","",VLOOKUP($A10,'Annex 2 EHV charges'!$D:$O,2,0))</f>
        <v>725</v>
      </c>
      <c r="C10" s="92">
        <f>IF($A10="","",VLOOKUP($A10,'Annex 2 EHV charges'!$D:$O,3,0))</f>
        <v>1900060436880</v>
      </c>
      <c r="D10" s="91" t="str">
        <f>IF($A10="","",VLOOKUP($A10,'Annex 2 EHV charges'!$D:$O,4,0))</f>
        <v>AYLESF</v>
      </c>
      <c r="E10" s="93" t="str">
        <f>IFERROR(IF(VLOOKUP($A10,'Annex 2 EHV charges'!$D:$O,9,FALSE)=0,"",VLOOKUP($A10,'Annex 2 EHV charges'!$D:$O,9,FALSE)),"")</f>
        <v/>
      </c>
      <c r="F10" s="94" t="str">
        <f>IFERROR(IF(VLOOKUP($A10,'Annex 2 EHV charges'!$D:$O,10,FALSE)=0,"",VLOOKUP($A10,'Annex 2 EHV charges'!$D:$O,10,FALSE)),"")</f>
        <v/>
      </c>
      <c r="G10" s="95" t="str">
        <f>IFERROR(IF(VLOOKUP($A10,'Annex 2 EHV charges'!$D:$O,11,FALSE)=0,"",VLOOKUP($A10,'Annex 2 EHV charges'!$D:$O,11,FALSE)),"")</f>
        <v/>
      </c>
      <c r="H10" s="95" t="str">
        <f>IFERROR(IF(VLOOKUP($A10,'Annex 2 EHV charges'!$D:$O,12,FALSE)=0,"",VLOOKUP($A10,'Annex 2 EHV charges'!$D:$O,12,FALSE)),"")</f>
        <v/>
      </c>
    </row>
    <row r="11" spans="1:15" ht="12.75" customHeight="1" x14ac:dyDescent="0.2">
      <c r="A11" s="92" t="str">
        <f t="array" ref="A11">IFERROR(INDEX('Annex 2 EHV charges'!$D$10:$D$259, MATCH(0, IF(ISBLANK('Annex 2 EHV charges'!$D$10:$D$259),1, COUNTIF(A$4:$A10, 'Annex 2 EHV charges'!$D$10:$D$259)), 0)),"")</f>
        <v>BEDERF</v>
      </c>
      <c r="B11" s="91">
        <f>IF($A11="","",VLOOKUP($A11,'Annex 2 EHV charges'!$D:$O,2,0))</f>
        <v>693</v>
      </c>
      <c r="C11" s="92">
        <f>IF($A11="","",VLOOKUP($A11,'Annex 2 EHV charges'!$D:$O,3,0))</f>
        <v>1900091482597</v>
      </c>
      <c r="D11" s="91" t="str">
        <f>IF($A11="","",VLOOKUP($A11,'Annex 2 EHV charges'!$D:$O,4,0))</f>
        <v>BEDERF</v>
      </c>
      <c r="E11" s="93">
        <f>IFERROR(IF(VLOOKUP($A11,'Annex 2 EHV charges'!$D:$O,9,FALSE)=0,"",VLOOKUP($A11,'Annex 2 EHV charges'!$D:$O,9,FALSE)),"")</f>
        <v>-0.17499999999999999</v>
      </c>
      <c r="F11" s="94">
        <f>IFERROR(IF(VLOOKUP($A11,'Annex 2 EHV charges'!$D:$O,10,FALSE)=0,"",VLOOKUP($A11,'Annex 2 EHV charges'!$D:$O,10,FALSE)),"")</f>
        <v>2408.15</v>
      </c>
      <c r="G11" s="95">
        <f>IFERROR(IF(VLOOKUP($A11,'Annex 2 EHV charges'!$D:$O,11,FALSE)=0,"",VLOOKUP($A11,'Annex 2 EHV charges'!$D:$O,11,FALSE)),"")</f>
        <v>0.05</v>
      </c>
      <c r="H11" s="95">
        <f>IFERROR(IF(VLOOKUP($A11,'Annex 2 EHV charges'!$D:$O,12,FALSE)=0,"",VLOOKUP($A11,'Annex 2 EHV charges'!$D:$O,12,FALSE)),"")</f>
        <v>0.05</v>
      </c>
    </row>
    <row r="12" spans="1:15" ht="12.75" customHeight="1" x14ac:dyDescent="0.2">
      <c r="A12" s="92" t="str">
        <f t="array" ref="A12">IFERROR(INDEX('Annex 2 EHV charges'!$D$10:$D$259, MATCH(0, IF(ISBLANK('Annex 2 EHV charges'!$D$10:$D$259),1, COUNTIF(A$4:$A11, 'Annex 2 EHV charges'!$D$10:$D$259)), 0)),"")</f>
        <v>BESAYL</v>
      </c>
      <c r="B12" s="91">
        <f>IF($A12="","",VLOOKUP($A12,'Annex 2 EHV charges'!$D:$O,2,0))</f>
        <v>694</v>
      </c>
      <c r="C12" s="92">
        <f>IF($A12="","",VLOOKUP($A12,'Annex 2 EHV charges'!$D:$O,3,0))</f>
        <v>1900091632784</v>
      </c>
      <c r="D12" s="91" t="str">
        <f>IF($A12="","",VLOOKUP($A12,'Annex 2 EHV charges'!$D:$O,4,0))</f>
        <v>BESAYL</v>
      </c>
      <c r="E12" s="93">
        <f>IFERROR(IF(VLOOKUP($A12,'Annex 2 EHV charges'!$D:$O,9,FALSE)=0,"",VLOOKUP($A12,'Annex 2 EHV charges'!$D:$O,9,FALSE)),"")</f>
        <v>-0.20899999999999999</v>
      </c>
      <c r="F12" s="94">
        <f>IFERROR(IF(VLOOKUP($A12,'Annex 2 EHV charges'!$D:$O,10,FALSE)=0,"",VLOOKUP($A12,'Annex 2 EHV charges'!$D:$O,10,FALSE)),"")</f>
        <v>345.61</v>
      </c>
      <c r="G12" s="95">
        <f>IFERROR(IF(VLOOKUP($A12,'Annex 2 EHV charges'!$D:$O,11,FALSE)=0,"",VLOOKUP($A12,'Annex 2 EHV charges'!$D:$O,11,FALSE)),"")</f>
        <v>0.05</v>
      </c>
      <c r="H12" s="95">
        <f>IFERROR(IF(VLOOKUP($A12,'Annex 2 EHV charges'!$D:$O,12,FALSE)=0,"",VLOOKUP($A12,'Annex 2 EHV charges'!$D:$O,12,FALSE)),"")</f>
        <v>0.05</v>
      </c>
    </row>
    <row r="13" spans="1:15" ht="12.75" customHeight="1" x14ac:dyDescent="0.2">
      <c r="A13" s="92" t="str">
        <f t="array" ref="A13">IFERROR(INDEX('Annex 2 EHV charges'!$D$10:$D$259, MATCH(0, IF(ISBLANK('Annex 2 EHV charges'!$D$10:$D$259),1, COUNTIF(A$4:$A12, 'Annex 2 EHV charges'!$D$10:$D$259)), 0)),"")</f>
        <v>BNTLEY</v>
      </c>
      <c r="B13" s="91">
        <f>IF($A13="","",VLOOKUP($A13,'Annex 2 EHV charges'!$D:$O,2,0))</f>
        <v>713</v>
      </c>
      <c r="C13" s="92">
        <f>IF($A13="","",VLOOKUP($A13,'Annex 2 EHV charges'!$D:$O,3,0))</f>
        <v>1900091343787</v>
      </c>
      <c r="D13" s="91" t="str">
        <f>IF($A13="","",VLOOKUP($A13,'Annex 2 EHV charges'!$D:$O,4,0))</f>
        <v>BNTLEY</v>
      </c>
      <c r="E13" s="93" t="str">
        <f>IFERROR(IF(VLOOKUP($A13,'Annex 2 EHV charges'!$D:$O,9,FALSE)=0,"",VLOOKUP($A13,'Annex 2 EHV charges'!$D:$O,9,FALSE)),"")</f>
        <v/>
      </c>
      <c r="F13" s="94">
        <f>IFERROR(IF(VLOOKUP($A13,'Annex 2 EHV charges'!$D:$O,10,FALSE)=0,"",VLOOKUP($A13,'Annex 2 EHV charges'!$D:$O,10,FALSE)),"")</f>
        <v>866.59</v>
      </c>
      <c r="G13" s="95">
        <f>IFERROR(IF(VLOOKUP($A13,'Annex 2 EHV charges'!$D:$O,11,FALSE)=0,"",VLOOKUP($A13,'Annex 2 EHV charges'!$D:$O,11,FALSE)),"")</f>
        <v>0.05</v>
      </c>
      <c r="H13" s="95">
        <f>IFERROR(IF(VLOOKUP($A13,'Annex 2 EHV charges'!$D:$O,12,FALSE)=0,"",VLOOKUP($A13,'Annex 2 EHV charges'!$D:$O,12,FALSE)),"")</f>
        <v>0.05</v>
      </c>
    </row>
    <row r="14" spans="1:15" ht="12.75" customHeight="1" x14ac:dyDescent="0.2">
      <c r="A14" s="92" t="str">
        <f t="array" ref="A14">IFERROR(INDEX('Annex 2 EHV charges'!$D$10:$D$259, MATCH(0, IF(ISBLANK('Annex 2 EHV charges'!$D$10:$D$259),1, COUNTIF(A$4:$A13, 'Annex 2 EHV charges'!$D$10:$D$259)), 0)),"")</f>
        <v>BNTLY2</v>
      </c>
      <c r="B14" s="91">
        <f>IF($A14="","",VLOOKUP($A14,'Annex 2 EHV charges'!$D:$O,2,0))</f>
        <v>712</v>
      </c>
      <c r="C14" s="92">
        <f>IF($A14="","",VLOOKUP($A14,'Annex 2 EHV charges'!$D:$O,3,0))</f>
        <v>1900091463655</v>
      </c>
      <c r="D14" s="91" t="str">
        <f>IF($A14="","",VLOOKUP($A14,'Annex 2 EHV charges'!$D:$O,4,0))</f>
        <v>BNTLY2</v>
      </c>
      <c r="E14" s="93" t="str">
        <f>IFERROR(IF(VLOOKUP($A14,'Annex 2 EHV charges'!$D:$O,9,FALSE)=0,"",VLOOKUP($A14,'Annex 2 EHV charges'!$D:$O,9,FALSE)),"")</f>
        <v/>
      </c>
      <c r="F14" s="94">
        <f>IFERROR(IF(VLOOKUP($A14,'Annex 2 EHV charges'!$D:$O,10,FALSE)=0,"",VLOOKUP($A14,'Annex 2 EHV charges'!$D:$O,10,FALSE)),"")</f>
        <v>554.77</v>
      </c>
      <c r="G14" s="95">
        <f>IFERROR(IF(VLOOKUP($A14,'Annex 2 EHV charges'!$D:$O,11,FALSE)=0,"",VLOOKUP($A14,'Annex 2 EHV charges'!$D:$O,11,FALSE)),"")</f>
        <v>0.05</v>
      </c>
      <c r="H14" s="95">
        <f>IFERROR(IF(VLOOKUP($A14,'Annex 2 EHV charges'!$D:$O,12,FALSE)=0,"",VLOOKUP($A14,'Annex 2 EHV charges'!$D:$O,12,FALSE)),"")</f>
        <v>0.05</v>
      </c>
    </row>
    <row r="15" spans="1:15" ht="12.75" customHeight="1" x14ac:dyDescent="0.2">
      <c r="A15" s="92" t="str">
        <f t="array" ref="A15">IFERROR(INDEX('Annex 2 EHV charges'!$D$10:$D$259, MATCH(0, IF(ISBLANK('Annex 2 EHV charges'!$D$10:$D$259),1, COUNTIF(A$4:$A14, 'Annex 2 EHV charges'!$D$10:$D$259)), 0)),"")</f>
        <v>BOBBNG</v>
      </c>
      <c r="B15" s="91">
        <f>IF($A15="","",VLOOKUP($A15,'Annex 2 EHV charges'!$D:$O,2,0))</f>
        <v>705</v>
      </c>
      <c r="C15" s="92">
        <f>IF($A15="","",VLOOKUP($A15,'Annex 2 EHV charges'!$D:$O,3,0))</f>
        <v>1900091395517</v>
      </c>
      <c r="D15" s="91" t="str">
        <f>IF($A15="","",VLOOKUP($A15,'Annex 2 EHV charges'!$D:$O,4,0))</f>
        <v>BOBBNG</v>
      </c>
      <c r="E15" s="93" t="str">
        <f>IFERROR(IF(VLOOKUP($A15,'Annex 2 EHV charges'!$D:$O,9,FALSE)=0,"",VLOOKUP($A15,'Annex 2 EHV charges'!$D:$O,9,FALSE)),"")</f>
        <v/>
      </c>
      <c r="F15" s="94">
        <f>IFERROR(IF(VLOOKUP($A15,'Annex 2 EHV charges'!$D:$O,10,FALSE)=0,"",VLOOKUP($A15,'Annex 2 EHV charges'!$D:$O,10,FALSE)),"")</f>
        <v>940.36</v>
      </c>
      <c r="G15" s="95">
        <f>IFERROR(IF(VLOOKUP($A15,'Annex 2 EHV charges'!$D:$O,11,FALSE)=0,"",VLOOKUP($A15,'Annex 2 EHV charges'!$D:$O,11,FALSE)),"")</f>
        <v>0.05</v>
      </c>
      <c r="H15" s="95">
        <f>IFERROR(IF(VLOOKUP($A15,'Annex 2 EHV charges'!$D:$O,12,FALSE)=0,"",VLOOKUP($A15,'Annex 2 EHV charges'!$D:$O,12,FALSE)),"")</f>
        <v>0.05</v>
      </c>
    </row>
    <row r="16" spans="1:15" ht="12.75" customHeight="1" x14ac:dyDescent="0.2">
      <c r="A16" s="92" t="str">
        <f t="array" ref="A16">IFERROR(INDEX('Annex 2 EHV charges'!$D$10:$D$259, MATCH(0, IF(ISBLANK('Annex 2 EHV charges'!$D$10:$D$259),1, COUNTIF(A$4:$A15, 'Annex 2 EHV charges'!$D$10:$D$259)), 0)),"")</f>
        <v>BRAMBS</v>
      </c>
      <c r="B16" s="91">
        <f>IF($A16="","",VLOOKUP($A16,'Annex 2 EHV charges'!$D:$O,2,0))</f>
        <v>695</v>
      </c>
      <c r="C16" s="92">
        <f>IF($A16="","",VLOOKUP($A16,'Annex 2 EHV charges'!$D:$O,3,0))</f>
        <v>1900091566820</v>
      </c>
      <c r="D16" s="91" t="str">
        <f>IF($A16="","",VLOOKUP($A16,'Annex 2 EHV charges'!$D:$O,4,0))</f>
        <v>BRAMBS</v>
      </c>
      <c r="E16" s="93">
        <f>IFERROR(IF(VLOOKUP($A16,'Annex 2 EHV charges'!$D:$O,9,FALSE)=0,"",VLOOKUP($A16,'Annex 2 EHV charges'!$D:$O,9,FALSE)),"")</f>
        <v>-8.5000000000000006E-2</v>
      </c>
      <c r="F16" s="94">
        <f>IFERROR(IF(VLOOKUP($A16,'Annex 2 EHV charges'!$D:$O,10,FALSE)=0,"",VLOOKUP($A16,'Annex 2 EHV charges'!$D:$O,10,FALSE)),"")</f>
        <v>345.61</v>
      </c>
      <c r="G16" s="95">
        <f>IFERROR(IF(VLOOKUP($A16,'Annex 2 EHV charges'!$D:$O,11,FALSE)=0,"",VLOOKUP($A16,'Annex 2 EHV charges'!$D:$O,11,FALSE)),"")</f>
        <v>0.05</v>
      </c>
      <c r="H16" s="95">
        <f>IFERROR(IF(VLOOKUP($A16,'Annex 2 EHV charges'!$D:$O,12,FALSE)=0,"",VLOOKUP($A16,'Annex 2 EHV charges'!$D:$O,12,FALSE)),"")</f>
        <v>0.05</v>
      </c>
    </row>
    <row r="17" spans="1:8" ht="12.75" customHeight="1" x14ac:dyDescent="0.2">
      <c r="A17" s="92" t="str">
        <f t="array" ref="A17">IFERROR(INDEX('Annex 2 EHV charges'!$D$10:$D$259, MATCH(0, IF(ISBLANK('Annex 2 EHV charges'!$D$10:$D$259),1, COUNTIF(A$4:$A16, 'Annex 2 EHV charges'!$D$10:$D$259)), 0)),"")</f>
        <v>BRELLE</v>
      </c>
      <c r="B17" s="91">
        <f>IF($A17="","",VLOOKUP($A17,'Annex 2 EHV charges'!$D:$O,2,0))</f>
        <v>696</v>
      </c>
      <c r="C17" s="92">
        <f>IF($A17="","",VLOOKUP($A17,'Annex 2 EHV charges'!$D:$O,3,0))</f>
        <v>1900091523125</v>
      </c>
      <c r="D17" s="91" t="str">
        <f>IF($A17="","",VLOOKUP($A17,'Annex 2 EHV charges'!$D:$O,4,0))</f>
        <v>BRELLE</v>
      </c>
      <c r="E17" s="93" t="str">
        <f>IFERROR(IF(VLOOKUP($A17,'Annex 2 EHV charges'!$D:$O,9,FALSE)=0,"",VLOOKUP($A17,'Annex 2 EHV charges'!$D:$O,9,FALSE)),"")</f>
        <v/>
      </c>
      <c r="F17" s="94">
        <f>IFERROR(IF(VLOOKUP($A17,'Annex 2 EHV charges'!$D:$O,10,FALSE)=0,"",VLOOKUP($A17,'Annex 2 EHV charges'!$D:$O,10,FALSE)),"")</f>
        <v>720.89</v>
      </c>
      <c r="G17" s="95">
        <f>IFERROR(IF(VLOOKUP($A17,'Annex 2 EHV charges'!$D:$O,11,FALSE)=0,"",VLOOKUP($A17,'Annex 2 EHV charges'!$D:$O,11,FALSE)),"")</f>
        <v>0.05</v>
      </c>
      <c r="H17" s="95">
        <f>IFERROR(IF(VLOOKUP($A17,'Annex 2 EHV charges'!$D:$O,12,FALSE)=0,"",VLOOKUP($A17,'Annex 2 EHV charges'!$D:$O,12,FALSE)),"")</f>
        <v>0.05</v>
      </c>
    </row>
    <row r="18" spans="1:8" ht="12.75" customHeight="1" x14ac:dyDescent="0.2">
      <c r="A18" s="92" t="str">
        <f t="array" ref="A18">IFERROR(INDEX('Annex 2 EHV charges'!$D$10:$D$259, MATCH(0, IF(ISBLANK('Annex 2 EHV charges'!$D$10:$D$259),1, COUNTIF(A$4:$A17, 'Annex 2 EHV charges'!$D$10:$D$259)), 0)),"")</f>
        <v>BRETSH</v>
      </c>
      <c r="B18" s="91">
        <f>IF($A18="","",VLOOKUP($A18,'Annex 2 EHV charges'!$D:$O,2,0))</f>
        <v>726</v>
      </c>
      <c r="C18" s="92" t="str">
        <f>IF($A18="","",VLOOKUP($A18,'Annex 2 EHV charges'!$D:$O,3,0))</f>
        <v>1900060866064
1900060866082</v>
      </c>
      <c r="D18" s="91" t="str">
        <f>IF($A18="","",VLOOKUP($A18,'Annex 2 EHV charges'!$D:$O,4,0))</f>
        <v>BRETSH</v>
      </c>
      <c r="E18" s="93" t="str">
        <f>IFERROR(IF(VLOOKUP($A18,'Annex 2 EHV charges'!$D:$O,9,FALSE)=0,"",VLOOKUP($A18,'Annex 2 EHV charges'!$D:$O,9,FALSE)),"")</f>
        <v/>
      </c>
      <c r="F18" s="94" t="str">
        <f>IFERROR(IF(VLOOKUP($A18,'Annex 2 EHV charges'!$D:$O,10,FALSE)=0,"",VLOOKUP($A18,'Annex 2 EHV charges'!$D:$O,10,FALSE)),"")</f>
        <v/>
      </c>
      <c r="G18" s="95" t="str">
        <f>IFERROR(IF(VLOOKUP($A18,'Annex 2 EHV charges'!$D:$O,11,FALSE)=0,"",VLOOKUP($A18,'Annex 2 EHV charges'!$D:$O,11,FALSE)),"")</f>
        <v/>
      </c>
      <c r="H18" s="95" t="str">
        <f>IFERROR(IF(VLOOKUP($A18,'Annex 2 EHV charges'!$D:$O,12,FALSE)=0,"",VLOOKUP($A18,'Annex 2 EHV charges'!$D:$O,12,FALSE)),"")</f>
        <v/>
      </c>
    </row>
    <row r="19" spans="1:8" ht="12.75" customHeight="1" x14ac:dyDescent="0.2">
      <c r="A19" s="92" t="str">
        <f t="array" ref="A19">IFERROR(INDEX('Annex 2 EHV charges'!$D$10:$D$259, MATCH(0, IF(ISBLANK('Annex 2 EHV charges'!$D$10:$D$259),1, COUNTIF(A$4:$A18, 'Annex 2 EHV charges'!$D$10:$D$259)), 0)),"")</f>
        <v>BRKHST</v>
      </c>
      <c r="B19" s="91">
        <f>IF($A19="","",VLOOKUP($A19,'Annex 2 EHV charges'!$D:$O,2,0))</f>
        <v>738</v>
      </c>
      <c r="C19" s="92">
        <f>IF($A19="","",VLOOKUP($A19,'Annex 2 EHV charges'!$D:$O,3,0))</f>
        <v>1900090834418</v>
      </c>
      <c r="D19" s="91" t="str">
        <f>IF($A19="","",VLOOKUP($A19,'Annex 2 EHV charges'!$D:$O,4,0))</f>
        <v>BRKHST</v>
      </c>
      <c r="E19" s="93">
        <f>IFERROR(IF(VLOOKUP($A19,'Annex 2 EHV charges'!$D:$O,9,FALSE)=0,"",VLOOKUP($A19,'Annex 2 EHV charges'!$D:$O,9,FALSE)),"")</f>
        <v>-0.53200000000000003</v>
      </c>
      <c r="F19" s="94">
        <f>IFERROR(IF(VLOOKUP($A19,'Annex 2 EHV charges'!$D:$O,10,FALSE)=0,"",VLOOKUP($A19,'Annex 2 EHV charges'!$D:$O,10,FALSE)),"")</f>
        <v>4837.7700000000004</v>
      </c>
      <c r="G19" s="95">
        <f>IFERROR(IF(VLOOKUP($A19,'Annex 2 EHV charges'!$D:$O,11,FALSE)=0,"",VLOOKUP($A19,'Annex 2 EHV charges'!$D:$O,11,FALSE)),"")</f>
        <v>0.05</v>
      </c>
      <c r="H19" s="95">
        <f>IFERROR(IF(VLOOKUP($A19,'Annex 2 EHV charges'!$D:$O,12,FALSE)=0,"",VLOOKUP($A19,'Annex 2 EHV charges'!$D:$O,12,FALSE)),"")</f>
        <v>0.05</v>
      </c>
    </row>
    <row r="20" spans="1:8" ht="12.75" customHeight="1" x14ac:dyDescent="0.2">
      <c r="A20" s="92" t="str">
        <f t="array" ref="A20">IFERROR(INDEX('Annex 2 EHV charges'!$D$10:$D$259, MATCH(0, IF(ISBLANK('Annex 2 EHV charges'!$D$10:$D$259),1, COUNTIF(A$4:$A19, 'Annex 2 EHV charges'!$D$10:$D$259)), 0)),"")</f>
        <v>BTBRKS</v>
      </c>
      <c r="B20" s="91">
        <f>IF($A20="","",VLOOKUP($A20,'Annex 2 EHV charges'!$D:$O,2,0))</f>
        <v>742</v>
      </c>
      <c r="C20" s="92">
        <f>IF($A20="","",VLOOKUP($A20,'Annex 2 EHV charges'!$D:$O,3,0))</f>
        <v>1900091199379</v>
      </c>
      <c r="D20" s="91" t="str">
        <f>IF($A20="","",VLOOKUP($A20,'Annex 2 EHV charges'!$D:$O,4,0))</f>
        <v>BTBRKS</v>
      </c>
      <c r="E20" s="93" t="str">
        <f>IFERROR(IF(VLOOKUP($A20,'Annex 2 EHV charges'!$D:$O,9,FALSE)=0,"",VLOOKUP($A20,'Annex 2 EHV charges'!$D:$O,9,FALSE)),"")</f>
        <v/>
      </c>
      <c r="F20" s="94">
        <f>IFERROR(IF(VLOOKUP($A20,'Annex 2 EHV charges'!$D:$O,10,FALSE)=0,"",VLOOKUP($A20,'Annex 2 EHV charges'!$D:$O,10,FALSE)),"")</f>
        <v>1083.27</v>
      </c>
      <c r="G20" s="95">
        <f>IFERROR(IF(VLOOKUP($A20,'Annex 2 EHV charges'!$D:$O,11,FALSE)=0,"",VLOOKUP($A20,'Annex 2 EHV charges'!$D:$O,11,FALSE)),"")</f>
        <v>0.05</v>
      </c>
      <c r="H20" s="95">
        <f>IFERROR(IF(VLOOKUP($A20,'Annex 2 EHV charges'!$D:$O,12,FALSE)=0,"",VLOOKUP($A20,'Annex 2 EHV charges'!$D:$O,12,FALSE)),"")</f>
        <v>0.05</v>
      </c>
    </row>
    <row r="21" spans="1:8" ht="12.75" customHeight="1" x14ac:dyDescent="0.2">
      <c r="A21" s="92" t="str">
        <f t="array" ref="A21">IFERROR(INDEX('Annex 2 EHV charges'!$D$10:$D$259, MATCH(0, IF(ISBLANK('Annex 2 EHV charges'!$D$10:$D$259),1, COUNTIF(A$4:$A20, 'Annex 2 EHV charges'!$D$10:$D$259)), 0)),"")</f>
        <v>CAPELG</v>
      </c>
      <c r="B21" s="91">
        <f>IF($A21="","",VLOOKUP($A21,'Annex 2 EHV charges'!$D:$O,2,0))</f>
        <v>706</v>
      </c>
      <c r="C21" s="92">
        <f>IF($A21="","",VLOOKUP($A21,'Annex 2 EHV charges'!$D:$O,3,0))</f>
        <v>1900091353303</v>
      </c>
      <c r="D21" s="91" t="str">
        <f>IF($A21="","",VLOOKUP($A21,'Annex 2 EHV charges'!$D:$O,4,0))</f>
        <v>CAPELG</v>
      </c>
      <c r="E21" s="93" t="str">
        <f>IFERROR(IF(VLOOKUP($A21,'Annex 2 EHV charges'!$D:$O,9,FALSE)=0,"",VLOOKUP($A21,'Annex 2 EHV charges'!$D:$O,9,FALSE)),"")</f>
        <v/>
      </c>
      <c r="F21" s="94">
        <f>IFERROR(IF(VLOOKUP($A21,'Annex 2 EHV charges'!$D:$O,10,FALSE)=0,"",VLOOKUP($A21,'Annex 2 EHV charges'!$D:$O,10,FALSE)),"")</f>
        <v>703.05</v>
      </c>
      <c r="G21" s="95">
        <f>IFERROR(IF(VLOOKUP($A21,'Annex 2 EHV charges'!$D:$O,11,FALSE)=0,"",VLOOKUP($A21,'Annex 2 EHV charges'!$D:$O,11,FALSE)),"")</f>
        <v>0.05</v>
      </c>
      <c r="H21" s="95">
        <f>IFERROR(IF(VLOOKUP($A21,'Annex 2 EHV charges'!$D:$O,12,FALSE)=0,"",VLOOKUP($A21,'Annex 2 EHV charges'!$D:$O,12,FALSE)),"")</f>
        <v>0.05</v>
      </c>
    </row>
    <row r="22" spans="1:8" ht="12.75" customHeight="1" x14ac:dyDescent="0.2">
      <c r="A22" s="92" t="str">
        <f t="array" ref="A22">IFERROR(INDEX('Annex 2 EHV charges'!$D$10:$D$259, MATCH(0, IF(ISBLANK('Annex 2 EHV charges'!$D$10:$D$259),1, COUNTIF(A$4:$A21, 'Annex 2 EHV charges'!$D$10:$D$259)), 0)),"")</f>
        <v>CLYHLL</v>
      </c>
      <c r="B22" s="91">
        <f>IF($A22="","",VLOOKUP($A22,'Annex 2 EHV charges'!$D:$O,2,0))</f>
        <v>716</v>
      </c>
      <c r="C22" s="92">
        <f>IF($A22="","",VLOOKUP($A22,'Annex 2 EHV charges'!$D:$O,3,0))</f>
        <v>1900091343769</v>
      </c>
      <c r="D22" s="91" t="str">
        <f>IF($A22="","",VLOOKUP($A22,'Annex 2 EHV charges'!$D:$O,4,0))</f>
        <v>CLYHLL</v>
      </c>
      <c r="E22" s="93" t="str">
        <f>IFERROR(IF(VLOOKUP($A22,'Annex 2 EHV charges'!$D:$O,9,FALSE)=0,"",VLOOKUP($A22,'Annex 2 EHV charges'!$D:$O,9,FALSE)),"")</f>
        <v/>
      </c>
      <c r="F22" s="94">
        <f>IFERROR(IF(VLOOKUP($A22,'Annex 2 EHV charges'!$D:$O,10,FALSE)=0,"",VLOOKUP($A22,'Annex 2 EHV charges'!$D:$O,10,FALSE)),"")</f>
        <v>652.96</v>
      </c>
      <c r="G22" s="95">
        <f>IFERROR(IF(VLOOKUP($A22,'Annex 2 EHV charges'!$D:$O,11,FALSE)=0,"",VLOOKUP($A22,'Annex 2 EHV charges'!$D:$O,11,FALSE)),"")</f>
        <v>0.05</v>
      </c>
      <c r="H22" s="95">
        <f>IFERROR(IF(VLOOKUP($A22,'Annex 2 EHV charges'!$D:$O,12,FALSE)=0,"",VLOOKUP($A22,'Annex 2 EHV charges'!$D:$O,12,FALSE)),"")</f>
        <v>0.05</v>
      </c>
    </row>
    <row r="23" spans="1:8" ht="12.75" customHeight="1" x14ac:dyDescent="0.2">
      <c r="A23" s="92" t="str">
        <f t="array" ref="A23">IFERROR(INDEX('Annex 2 EHV charges'!$D$10:$D$259, MATCH(0, IF(ISBLANK('Annex 2 EHV charges'!$D$10:$D$259),1, COUNTIF(A$4:$A22, 'Annex 2 EHV charges'!$D$10:$D$259)), 0)),"")</f>
        <v>CRYENG</v>
      </c>
      <c r="B23" s="91">
        <f>IF($A23="","",VLOOKUP($A23,'Annex 2 EHV charges'!$D:$O,2,0))</f>
        <v>730</v>
      </c>
      <c r="C23" s="92">
        <f>IF($A23="","",VLOOKUP($A23,'Annex 2 EHV charges'!$D:$O,3,0))</f>
        <v>1900060831708</v>
      </c>
      <c r="D23" s="91" t="str">
        <f>IF($A23="","",VLOOKUP($A23,'Annex 2 EHV charges'!$D:$O,4,0))</f>
        <v>CRYENG</v>
      </c>
      <c r="E23" s="93">
        <f>IFERROR(IF(VLOOKUP($A23,'Annex 2 EHV charges'!$D:$O,9,FALSE)=0,"",VLOOKUP($A23,'Annex 2 EHV charges'!$D:$O,9,FALSE)),"")</f>
        <v>-4.0000000000000001E-3</v>
      </c>
      <c r="F23" s="94">
        <f>IFERROR(IF(VLOOKUP($A23,'Annex 2 EHV charges'!$D:$O,10,FALSE)=0,"",VLOOKUP($A23,'Annex 2 EHV charges'!$D:$O,10,FALSE)),"")</f>
        <v>299.01</v>
      </c>
      <c r="G23" s="95">
        <f>IFERROR(IF(VLOOKUP($A23,'Annex 2 EHV charges'!$D:$O,11,FALSE)=0,"",VLOOKUP($A23,'Annex 2 EHV charges'!$D:$O,11,FALSE)),"")</f>
        <v>0.05</v>
      </c>
      <c r="H23" s="95">
        <f>IFERROR(IF(VLOOKUP($A23,'Annex 2 EHV charges'!$D:$O,12,FALSE)=0,"",VLOOKUP($A23,'Annex 2 EHV charges'!$D:$O,12,FALSE)),"")</f>
        <v>0.05</v>
      </c>
    </row>
    <row r="24" spans="1:8" ht="12.75" customHeight="1" x14ac:dyDescent="0.2">
      <c r="A24" s="92" t="str">
        <f t="array" ref="A24">IFERROR(INDEX('Annex 2 EHV charges'!$D$10:$D$259, MATCH(0, IF(ISBLANK('Annex 2 EHV charges'!$D$10:$D$259),1, COUNTIF(A$4:$A23, 'Annex 2 EHV charges'!$D$10:$D$259)), 0)),"")</f>
        <v>DSCPRK</v>
      </c>
      <c r="B24" s="91">
        <f>IF($A24="","",VLOOKUP($A24,'Annex 2 EHV charges'!$D:$O,2,0))</f>
        <v>704</v>
      </c>
      <c r="C24" s="92" t="str">
        <f>IF($A24="","",VLOOKUP($A24,'Annex 2 EHV charges'!$D:$O,3,0))</f>
        <v>1900091057559
1900091637081</v>
      </c>
      <c r="D24" s="91" t="str">
        <f>IF($A24="","",VLOOKUP($A24,'Annex 2 EHV charges'!$D:$O,4,0))</f>
        <v>DSCPRK</v>
      </c>
      <c r="E24" s="93">
        <f>IFERROR(IF(VLOOKUP($A24,'Annex 2 EHV charges'!$D:$O,9,FALSE)=0,"",VLOOKUP($A24,'Annex 2 EHV charges'!$D:$O,9,FALSE)),"")</f>
        <v>-0.14299999999999999</v>
      </c>
      <c r="F24" s="94">
        <f>IFERROR(IF(VLOOKUP($A24,'Annex 2 EHV charges'!$D:$O,10,FALSE)=0,"",VLOOKUP($A24,'Annex 2 EHV charges'!$D:$O,10,FALSE)),"")</f>
        <v>2854.23</v>
      </c>
      <c r="G24" s="95">
        <f>IFERROR(IF(VLOOKUP($A24,'Annex 2 EHV charges'!$D:$O,11,FALSE)=0,"",VLOOKUP($A24,'Annex 2 EHV charges'!$D:$O,11,FALSE)),"")</f>
        <v>0.05</v>
      </c>
      <c r="H24" s="95">
        <f>IFERROR(IF(VLOOKUP($A24,'Annex 2 EHV charges'!$D:$O,12,FALSE)=0,"",VLOOKUP($A24,'Annex 2 EHV charges'!$D:$O,12,FALSE)),"")</f>
        <v>0.05</v>
      </c>
    </row>
    <row r="25" spans="1:8" ht="12.75" customHeight="1" x14ac:dyDescent="0.2">
      <c r="A25" s="92" t="str">
        <f t="array" ref="A25">IFERROR(INDEX('Annex 2 EHV charges'!$D$10:$D$259, MATCH(0, IF(ISBLANK('Annex 2 EHV charges'!$D$10:$D$259),1, COUNTIF(A$4:$A24, 'Annex 2 EHV charges'!$D$10:$D$259)), 0)),"")</f>
        <v>FORDSF</v>
      </c>
      <c r="B25" s="91">
        <f>IF($A25="","",VLOOKUP($A25,'Annex 2 EHV charges'!$D:$O,2,0))</f>
        <v>707</v>
      </c>
      <c r="C25" s="92">
        <f>IF($A25="","",VLOOKUP($A25,'Annex 2 EHV charges'!$D:$O,3,0))</f>
        <v>1900091361971</v>
      </c>
      <c r="D25" s="91" t="str">
        <f>IF($A25="","",VLOOKUP($A25,'Annex 2 EHV charges'!$D:$O,4,0))</f>
        <v>FORDSF</v>
      </c>
      <c r="E25" s="93" t="str">
        <f>IFERROR(IF(VLOOKUP($A25,'Annex 2 EHV charges'!$D:$O,9,FALSE)=0,"",VLOOKUP($A25,'Annex 2 EHV charges'!$D:$O,9,FALSE)),"")</f>
        <v/>
      </c>
      <c r="F25" s="94">
        <f>IFERROR(IF(VLOOKUP($A25,'Annex 2 EHV charges'!$D:$O,10,FALSE)=0,"",VLOOKUP($A25,'Annex 2 EHV charges'!$D:$O,10,FALSE)),"")</f>
        <v>648.14</v>
      </c>
      <c r="G25" s="95">
        <f>IFERROR(IF(VLOOKUP($A25,'Annex 2 EHV charges'!$D:$O,11,FALSE)=0,"",VLOOKUP($A25,'Annex 2 EHV charges'!$D:$O,11,FALSE)),"")</f>
        <v>0.05</v>
      </c>
      <c r="H25" s="95">
        <f>IFERROR(IF(VLOOKUP($A25,'Annex 2 EHV charges'!$D:$O,12,FALSE)=0,"",VLOOKUP($A25,'Annex 2 EHV charges'!$D:$O,12,FALSE)),"")</f>
        <v>0.05</v>
      </c>
    </row>
    <row r="26" spans="1:8" ht="12.75" customHeight="1" x14ac:dyDescent="0.2">
      <c r="A26" s="92" t="str">
        <f t="array" ref="A26">IFERROR(INDEX('Annex 2 EHV charges'!$D$10:$D$259, MATCH(0, IF(ISBLANK('Annex 2 EHV charges'!$D$10:$D$259),1, COUNTIF(A$4:$A25, 'Annex 2 EHV charges'!$D$10:$D$259)), 0)),"")</f>
        <v>FRWOOD</v>
      </c>
      <c r="B26" s="91">
        <f>IF($A26="","",VLOOKUP($A26,'Annex 2 EHV charges'!$D:$O,2,0))</f>
        <v>743</v>
      </c>
      <c r="C26" s="92">
        <f>IF($A26="","",VLOOKUP($A26,'Annex 2 EHV charges'!$D:$O,3,0))</f>
        <v>1900091200397</v>
      </c>
      <c r="D26" s="91" t="str">
        <f>IF($A26="","",VLOOKUP($A26,'Annex 2 EHV charges'!$D:$O,4,0))</f>
        <v>FRWOOD</v>
      </c>
      <c r="E26" s="93" t="str">
        <f>IFERROR(IF(VLOOKUP($A26,'Annex 2 EHV charges'!$D:$O,9,FALSE)=0,"",VLOOKUP($A26,'Annex 2 EHV charges'!$D:$O,9,FALSE)),"")</f>
        <v/>
      </c>
      <c r="F26" s="94">
        <f>IFERROR(IF(VLOOKUP($A26,'Annex 2 EHV charges'!$D:$O,10,FALSE)=0,"",VLOOKUP($A26,'Annex 2 EHV charges'!$D:$O,10,FALSE)),"")</f>
        <v>895.42</v>
      </c>
      <c r="G26" s="95">
        <f>IFERROR(IF(VLOOKUP($A26,'Annex 2 EHV charges'!$D:$O,11,FALSE)=0,"",VLOOKUP($A26,'Annex 2 EHV charges'!$D:$O,11,FALSE)),"")</f>
        <v>0.05</v>
      </c>
      <c r="H26" s="95">
        <f>IFERROR(IF(VLOOKUP($A26,'Annex 2 EHV charges'!$D:$O,12,FALSE)=0,"",VLOOKUP($A26,'Annex 2 EHV charges'!$D:$O,12,FALSE)),"")</f>
        <v>0.05</v>
      </c>
    </row>
    <row r="27" spans="1:8" ht="12.75" customHeight="1" x14ac:dyDescent="0.2">
      <c r="A27" s="92" t="str">
        <f t="array" ref="A27">IFERROR(INDEX('Annex 2 EHV charges'!$D$10:$D$259, MATCH(0, IF(ISBLANK('Annex 2 EHV charges'!$D$10:$D$259),1, COUNTIF(A$4:$A26, 'Annex 2 EHV charges'!$D$10:$D$259)), 0)),"")</f>
        <v>GROVEH</v>
      </c>
      <c r="B27" s="91">
        <f>IF($A27="","",VLOOKUP($A27,'Annex 2 EHV charges'!$D:$O,2,0))</f>
        <v>727</v>
      </c>
      <c r="C27" s="92">
        <f>IF($A27="","",VLOOKUP($A27,'Annex 2 EHV charges'!$D:$O,3,0))</f>
        <v>1900060225194</v>
      </c>
      <c r="D27" s="91" t="str">
        <f>IF($A27="","",VLOOKUP($A27,'Annex 2 EHV charges'!$D:$O,4,0))</f>
        <v>GROVEH</v>
      </c>
      <c r="E27" s="93" t="str">
        <f>IFERROR(IF(VLOOKUP($A27,'Annex 2 EHV charges'!$D:$O,9,FALSE)=0,"",VLOOKUP($A27,'Annex 2 EHV charges'!$D:$O,9,FALSE)),"")</f>
        <v/>
      </c>
      <c r="F27" s="94" t="str">
        <f>IFERROR(IF(VLOOKUP($A27,'Annex 2 EHV charges'!$D:$O,10,FALSE)=0,"",VLOOKUP($A27,'Annex 2 EHV charges'!$D:$O,10,FALSE)),"")</f>
        <v/>
      </c>
      <c r="G27" s="95" t="str">
        <f>IFERROR(IF(VLOOKUP($A27,'Annex 2 EHV charges'!$D:$O,11,FALSE)=0,"",VLOOKUP($A27,'Annex 2 EHV charges'!$D:$O,11,FALSE)),"")</f>
        <v/>
      </c>
      <c r="H27" s="95" t="str">
        <f>IFERROR(IF(VLOOKUP($A27,'Annex 2 EHV charges'!$D:$O,12,FALSE)=0,"",VLOOKUP($A27,'Annex 2 EHV charges'!$D:$O,12,FALSE)),"")</f>
        <v/>
      </c>
    </row>
    <row r="28" spans="1:8" ht="12.75" customHeight="1" x14ac:dyDescent="0.2">
      <c r="A28" s="92" t="str">
        <f t="array" ref="A28">IFERROR(INDEX('Annex 2 EHV charges'!$D$10:$D$259, MATCH(0, IF(ISBLANK('Annex 2 EHV charges'!$D$10:$D$259),1, COUNTIF(A$4:$A27, 'Annex 2 EHV charges'!$D$10:$D$259)), 0)),"")</f>
        <v>GUSTON</v>
      </c>
      <c r="B28" s="91">
        <f>IF($A28="","",VLOOKUP($A28,'Annex 2 EHV charges'!$D:$O,2,0))</f>
        <v>708</v>
      </c>
      <c r="C28" s="92">
        <f>IF($A28="","",VLOOKUP($A28,'Annex 2 EHV charges'!$D:$O,3,0))</f>
        <v>1900091338059</v>
      </c>
      <c r="D28" s="91" t="str">
        <f>IF($A28="","",VLOOKUP($A28,'Annex 2 EHV charges'!$D:$O,4,0))</f>
        <v>GUSTON</v>
      </c>
      <c r="E28" s="93" t="str">
        <f>IFERROR(IF(VLOOKUP($A28,'Annex 2 EHV charges'!$D:$O,9,FALSE)=0,"",VLOOKUP($A28,'Annex 2 EHV charges'!$D:$O,9,FALSE)),"")</f>
        <v/>
      </c>
      <c r="F28" s="94">
        <f>IFERROR(IF(VLOOKUP($A28,'Annex 2 EHV charges'!$D:$O,10,FALSE)=0,"",VLOOKUP($A28,'Annex 2 EHV charges'!$D:$O,10,FALSE)),"")</f>
        <v>1515.01</v>
      </c>
      <c r="G28" s="95">
        <f>IFERROR(IF(VLOOKUP($A28,'Annex 2 EHV charges'!$D:$O,11,FALSE)=0,"",VLOOKUP($A28,'Annex 2 EHV charges'!$D:$O,11,FALSE)),"")</f>
        <v>0.05</v>
      </c>
      <c r="H28" s="95">
        <f>IFERROR(IF(VLOOKUP($A28,'Annex 2 EHV charges'!$D:$O,12,FALSE)=0,"",VLOOKUP($A28,'Annex 2 EHV charges'!$D:$O,12,FALSE)),"")</f>
        <v>0.05</v>
      </c>
    </row>
    <row r="29" spans="1:8" ht="12.75" customHeight="1" x14ac:dyDescent="0.2">
      <c r="A29" s="92" t="str">
        <f t="array" ref="A29">IFERROR(INDEX('Annex 2 EHV charges'!$D$10:$D$259, MATCH(0, IF(ISBLANK('Annex 2 EHV charges'!$D$10:$D$259),1, COUNTIF(A$4:$A28, 'Annex 2 EHV charges'!$D$10:$D$259)), 0)),"")</f>
        <v>HADLOW</v>
      </c>
      <c r="B29" s="91">
        <f>IF($A29="","",VLOOKUP($A29,'Annex 2 EHV charges'!$D:$O,2,0))</f>
        <v>744</v>
      </c>
      <c r="C29" s="92">
        <f>IF($A29="","",VLOOKUP($A29,'Annex 2 EHV charges'!$D:$O,3,0))</f>
        <v>1900091217052</v>
      </c>
      <c r="D29" s="91" t="str">
        <f>IF($A29="","",VLOOKUP($A29,'Annex 2 EHV charges'!$D:$O,4,0))</f>
        <v>HADLOW</v>
      </c>
      <c r="E29" s="93" t="str">
        <f>IFERROR(IF(VLOOKUP($A29,'Annex 2 EHV charges'!$D:$O,9,FALSE)=0,"",VLOOKUP($A29,'Annex 2 EHV charges'!$D:$O,9,FALSE)),"")</f>
        <v/>
      </c>
      <c r="F29" s="94">
        <f>IFERROR(IF(VLOOKUP($A29,'Annex 2 EHV charges'!$D:$O,10,FALSE)=0,"",VLOOKUP($A29,'Annex 2 EHV charges'!$D:$O,10,FALSE)),"")</f>
        <v>689.39</v>
      </c>
      <c r="G29" s="95">
        <f>IFERROR(IF(VLOOKUP($A29,'Annex 2 EHV charges'!$D:$O,11,FALSE)=0,"",VLOOKUP($A29,'Annex 2 EHV charges'!$D:$O,11,FALSE)),"")</f>
        <v>0.05</v>
      </c>
      <c r="H29" s="95">
        <f>IFERROR(IF(VLOOKUP($A29,'Annex 2 EHV charges'!$D:$O,12,FALSE)=0,"",VLOOKUP($A29,'Annex 2 EHV charges'!$D:$O,12,FALSE)),"")</f>
        <v>0.05</v>
      </c>
    </row>
    <row r="30" spans="1:8" ht="12.75" customHeight="1" x14ac:dyDescent="0.2">
      <c r="A30" s="92" t="str">
        <f t="array" ref="A30">IFERROR(INDEX('Annex 2 EHV charges'!$D$10:$D$259, MATCH(0, IF(ISBLANK('Annex 2 EHV charges'!$D$10:$D$259),1, COUNTIF(A$4:$A29, 'Annex 2 EHV charges'!$D$10:$D$259)), 0)),"")</f>
        <v>HANSTA</v>
      </c>
      <c r="B30" s="91">
        <f>IF($A30="","",VLOOKUP($A30,'Annex 2 EHV charges'!$D:$O,2,0))</f>
        <v>728</v>
      </c>
      <c r="C30" s="92" t="str">
        <f>IF($A30="","",VLOOKUP($A30,'Annex 2 EHV charges'!$D:$O,3,0))</f>
        <v>1900060442174
1900060512032</v>
      </c>
      <c r="D30" s="91" t="str">
        <f>IF($A30="","",VLOOKUP($A30,'Annex 2 EHV charges'!$D:$O,4,0))</f>
        <v>HANSTA</v>
      </c>
      <c r="E30" s="93" t="str">
        <f>IFERROR(IF(VLOOKUP($A30,'Annex 2 EHV charges'!$D:$O,9,FALSE)=0,"",VLOOKUP($A30,'Annex 2 EHV charges'!$D:$O,9,FALSE)),"")</f>
        <v/>
      </c>
      <c r="F30" s="94" t="str">
        <f>IFERROR(IF(VLOOKUP($A30,'Annex 2 EHV charges'!$D:$O,10,FALSE)=0,"",VLOOKUP($A30,'Annex 2 EHV charges'!$D:$O,10,FALSE)),"")</f>
        <v/>
      </c>
      <c r="G30" s="95" t="str">
        <f>IFERROR(IF(VLOOKUP($A30,'Annex 2 EHV charges'!$D:$O,11,FALSE)=0,"",VLOOKUP($A30,'Annex 2 EHV charges'!$D:$O,11,FALSE)),"")</f>
        <v/>
      </c>
      <c r="H30" s="95" t="str">
        <f>IFERROR(IF(VLOOKUP($A30,'Annex 2 EHV charges'!$D:$O,12,FALSE)=0,"",VLOOKUP($A30,'Annex 2 EHV charges'!$D:$O,12,FALSE)),"")</f>
        <v/>
      </c>
    </row>
    <row r="31" spans="1:8" ht="12.75" customHeight="1" x14ac:dyDescent="0.2">
      <c r="A31" s="92" t="str">
        <f t="array" ref="A31">IFERROR(INDEX('Annex 2 EHV charges'!$D$10:$D$259, MATCH(0, IF(ISBLANK('Annex 2 EHV charges'!$D$10:$D$259),1, COUNTIF(A$4:$A30, 'Annex 2 EHV charges'!$D$10:$D$259)), 0)),"")</f>
        <v>HLLMBY</v>
      </c>
      <c r="B31" s="91">
        <f>IF($A31="","",VLOOKUP($A31,'Annex 2 EHV charges'!$D:$O,2,0))</f>
        <v>745</v>
      </c>
      <c r="C31" s="92">
        <f>IF($A31="","",VLOOKUP($A31,'Annex 2 EHV charges'!$D:$O,3,0))</f>
        <v>1900091217080</v>
      </c>
      <c r="D31" s="91" t="str">
        <f>IF($A31="","",VLOOKUP($A31,'Annex 2 EHV charges'!$D:$O,4,0))</f>
        <v>HLLMBY</v>
      </c>
      <c r="E31" s="93" t="str">
        <f>IFERROR(IF(VLOOKUP($A31,'Annex 2 EHV charges'!$D:$O,9,FALSE)=0,"",VLOOKUP($A31,'Annex 2 EHV charges'!$D:$O,9,FALSE)),"")</f>
        <v/>
      </c>
      <c r="F31" s="94">
        <f>IFERROR(IF(VLOOKUP($A31,'Annex 2 EHV charges'!$D:$O,10,FALSE)=0,"",VLOOKUP($A31,'Annex 2 EHV charges'!$D:$O,10,FALSE)),"")</f>
        <v>758.83</v>
      </c>
      <c r="G31" s="95">
        <f>IFERROR(IF(VLOOKUP($A31,'Annex 2 EHV charges'!$D:$O,11,FALSE)=0,"",VLOOKUP($A31,'Annex 2 EHV charges'!$D:$O,11,FALSE)),"")</f>
        <v>0.05</v>
      </c>
      <c r="H31" s="95">
        <f>IFERROR(IF(VLOOKUP($A31,'Annex 2 EHV charges'!$D:$O,12,FALSE)=0,"",VLOOKUP($A31,'Annex 2 EHV charges'!$D:$O,12,FALSE)),"")</f>
        <v>0.05</v>
      </c>
    </row>
    <row r="32" spans="1:8" ht="12.75" customHeight="1" x14ac:dyDescent="0.2">
      <c r="A32" s="92" t="str">
        <f t="array" ref="A32">IFERROR(INDEX('Annex 2 EHV charges'!$D$10:$D$259, MATCH(0, IF(ISBLANK('Annex 2 EHV charges'!$D$10:$D$259),1, COUNTIF(A$4:$A31, 'Annex 2 EHV charges'!$D$10:$D$259)), 0)),"")</f>
        <v>HORAMS</v>
      </c>
      <c r="B32" s="91">
        <f>IF($A32="","",VLOOKUP($A32,'Annex 2 EHV charges'!$D:$O,2,0))</f>
        <v>701</v>
      </c>
      <c r="C32" s="92">
        <f>IF($A32="","",VLOOKUP($A32,'Annex 2 EHV charges'!$D:$O,3,0))</f>
        <v>1900091200077</v>
      </c>
      <c r="D32" s="91" t="str">
        <f>IF($A32="","",VLOOKUP($A32,'Annex 2 EHV charges'!$D:$O,4,0))</f>
        <v>HORAMS</v>
      </c>
      <c r="E32" s="93" t="str">
        <f>IFERROR(IF(VLOOKUP($A32,'Annex 2 EHV charges'!$D:$O,9,FALSE)=0,"",VLOOKUP($A32,'Annex 2 EHV charges'!$D:$O,9,FALSE)),"")</f>
        <v/>
      </c>
      <c r="F32" s="94">
        <f>IFERROR(IF(VLOOKUP($A32,'Annex 2 EHV charges'!$D:$O,10,FALSE)=0,"",VLOOKUP($A32,'Annex 2 EHV charges'!$D:$O,10,FALSE)),"")</f>
        <v>1712.45</v>
      </c>
      <c r="G32" s="95">
        <f>IFERROR(IF(VLOOKUP($A32,'Annex 2 EHV charges'!$D:$O,11,FALSE)=0,"",VLOOKUP($A32,'Annex 2 EHV charges'!$D:$O,11,FALSE)),"")</f>
        <v>0.05</v>
      </c>
      <c r="H32" s="95">
        <f>IFERROR(IF(VLOOKUP($A32,'Annex 2 EHV charges'!$D:$O,12,FALSE)=0,"",VLOOKUP($A32,'Annex 2 EHV charges'!$D:$O,12,FALSE)),"")</f>
        <v>0.05</v>
      </c>
    </row>
    <row r="33" spans="1:8" ht="12.75" customHeight="1" x14ac:dyDescent="0.2">
      <c r="A33" s="92" t="str">
        <f t="array" ref="A33">IFERROR(INDEX('Annex 2 EHV charges'!$D$10:$D$259, MATCH(0, IF(ISBLANK('Annex 2 EHV charges'!$D$10:$D$259),1, COUNTIF(A$4:$A32, 'Annex 2 EHV charges'!$D$10:$D$259)), 0)),"")</f>
        <v>KENTI2</v>
      </c>
      <c r="B33" s="91">
        <f>IF($A33="","",VLOOKUP($A33,'Annex 2 EHV charges'!$D:$O,2,0))</f>
        <v>746</v>
      </c>
      <c r="C33" s="92">
        <f>IF($A33="","",VLOOKUP($A33,'Annex 2 EHV charges'!$D:$O,3,0))</f>
        <v>1900091199528</v>
      </c>
      <c r="D33" s="91" t="str">
        <f>IF($A33="","",VLOOKUP($A33,'Annex 2 EHV charges'!$D:$O,4,0))</f>
        <v>KENTI2</v>
      </c>
      <c r="E33" s="93" t="str">
        <f>IFERROR(IF(VLOOKUP($A33,'Annex 2 EHV charges'!$D:$O,9,FALSE)=0,"",VLOOKUP($A33,'Annex 2 EHV charges'!$D:$O,9,FALSE)),"")</f>
        <v/>
      </c>
      <c r="F33" s="94">
        <f>IFERROR(IF(VLOOKUP($A33,'Annex 2 EHV charges'!$D:$O,10,FALSE)=0,"",VLOOKUP($A33,'Annex 2 EHV charges'!$D:$O,10,FALSE)),"")</f>
        <v>305.60000000000002</v>
      </c>
      <c r="G33" s="95">
        <f>IFERROR(IF(VLOOKUP($A33,'Annex 2 EHV charges'!$D:$O,11,FALSE)=0,"",VLOOKUP($A33,'Annex 2 EHV charges'!$D:$O,11,FALSE)),"")</f>
        <v>0.05</v>
      </c>
      <c r="H33" s="95">
        <f>IFERROR(IF(VLOOKUP($A33,'Annex 2 EHV charges'!$D:$O,12,FALSE)=0,"",VLOOKUP($A33,'Annex 2 EHV charges'!$D:$O,12,FALSE)),"")</f>
        <v>0.05</v>
      </c>
    </row>
    <row r="34" spans="1:8" ht="12.75" customHeight="1" x14ac:dyDescent="0.2">
      <c r="A34" s="92" t="str">
        <f t="array" ref="A34">IFERROR(INDEX('Annex 2 EHV charges'!$D$10:$D$259, MATCH(0, IF(ISBLANK('Annex 2 EHV charges'!$D$10:$D$259),1, COUNTIF(A$4:$A33, 'Annex 2 EHV charges'!$D$10:$D$259)), 0)),"")</f>
        <v>KENTIS</v>
      </c>
      <c r="B34" s="91">
        <f>IF($A34="","",VLOOKUP($A34,'Annex 2 EHV charges'!$D:$O,2,0))</f>
        <v>722</v>
      </c>
      <c r="C34" s="92">
        <f>IF($A34="","",VLOOKUP($A34,'Annex 2 EHV charges'!$D:$O,3,0))</f>
        <v>1900070122343</v>
      </c>
      <c r="D34" s="91" t="str">
        <f>IF($A34="","",VLOOKUP($A34,'Annex 2 EHV charges'!$D:$O,4,0))</f>
        <v>KENTIS</v>
      </c>
      <c r="E34" s="93" t="str">
        <f>IFERROR(IF(VLOOKUP($A34,'Annex 2 EHV charges'!$D:$O,9,FALSE)=0,"",VLOOKUP($A34,'Annex 2 EHV charges'!$D:$O,9,FALSE)),"")</f>
        <v/>
      </c>
      <c r="F34" s="94" t="str">
        <f>IFERROR(IF(VLOOKUP($A34,'Annex 2 EHV charges'!$D:$O,10,FALSE)=0,"",VLOOKUP($A34,'Annex 2 EHV charges'!$D:$O,10,FALSE)),"")</f>
        <v/>
      </c>
      <c r="G34" s="95" t="str">
        <f>IFERROR(IF(VLOOKUP($A34,'Annex 2 EHV charges'!$D:$O,11,FALSE)=0,"",VLOOKUP($A34,'Annex 2 EHV charges'!$D:$O,11,FALSE)),"")</f>
        <v/>
      </c>
      <c r="H34" s="95" t="str">
        <f>IFERROR(IF(VLOOKUP($A34,'Annex 2 EHV charges'!$D:$O,12,FALSE)=0,"",VLOOKUP($A34,'Annex 2 EHV charges'!$D:$O,12,FALSE)),"")</f>
        <v/>
      </c>
    </row>
    <row r="35" spans="1:8" ht="12.75" customHeight="1" x14ac:dyDescent="0.2">
      <c r="A35" s="92" t="str">
        <f t="array" ref="A35">IFERROR(INDEX('Annex 2 EHV charges'!$D$10:$D$259, MATCH(0, IF(ISBLANK('Annex 2 EHV charges'!$D$10:$D$259),1, COUNTIF(A$4:$A34, 'Annex 2 EHV charges'!$D$10:$D$259)), 0)),"")</f>
        <v>KM3CHP</v>
      </c>
      <c r="B35" s="91">
        <f>IF($A35="","",VLOOKUP($A35,'Annex 2 EHV charges'!$D:$O,2,0))</f>
        <v>699</v>
      </c>
      <c r="C35" s="92">
        <f>IF($A35="","",VLOOKUP($A35,'Annex 2 EHV charges'!$D:$O,3,0))</f>
        <v>1900091669739</v>
      </c>
      <c r="D35" s="91" t="str">
        <f>IF($A35="","",VLOOKUP($A35,'Annex 2 EHV charges'!$D:$O,4,0))</f>
        <v>KM3CHP</v>
      </c>
      <c r="E35" s="93" t="str">
        <f>IFERROR(IF(VLOOKUP($A35,'Annex 2 EHV charges'!$D:$O,9,FALSE)=0,"",VLOOKUP($A35,'Annex 2 EHV charges'!$D:$O,9,FALSE)),"")</f>
        <v/>
      </c>
      <c r="F35" s="94">
        <f>IFERROR(IF(VLOOKUP($A35,'Annex 2 EHV charges'!$D:$O,10,FALSE)=0,"",VLOOKUP($A35,'Annex 2 EHV charges'!$D:$O,10,FALSE)),"")</f>
        <v>2467.91</v>
      </c>
      <c r="G35" s="95">
        <f>IFERROR(IF(VLOOKUP($A35,'Annex 2 EHV charges'!$D:$O,11,FALSE)=0,"",VLOOKUP($A35,'Annex 2 EHV charges'!$D:$O,11,FALSE)),"")</f>
        <v>0.05</v>
      </c>
      <c r="H35" s="95">
        <f>IFERROR(IF(VLOOKUP($A35,'Annex 2 EHV charges'!$D:$O,12,FALSE)=0,"",VLOOKUP($A35,'Annex 2 EHV charges'!$D:$O,12,FALSE)),"")</f>
        <v>0.05</v>
      </c>
    </row>
    <row r="36" spans="1:8" ht="12.75" customHeight="1" x14ac:dyDescent="0.2">
      <c r="A36" s="92" t="str">
        <f t="array" ref="A36">IFERROR(INDEX('Annex 2 EHV charges'!$D$10:$D$259, MATCH(0, IF(ISBLANK('Annex 2 EHV charges'!$D$10:$D$259),1, COUNTIF(A$4:$A35, 'Annex 2 EHV charges'!$D$10:$D$259)), 0)),"")</f>
        <v>KNWLTN</v>
      </c>
      <c r="B36" s="91">
        <f>IF($A36="","",VLOOKUP($A36,'Annex 2 EHV charges'!$D:$O,2,0))</f>
        <v>735</v>
      </c>
      <c r="C36" s="92">
        <f>IF($A36="","",VLOOKUP($A36,'Annex 2 EHV charges'!$D:$O,3,0))</f>
        <v>1900091091940</v>
      </c>
      <c r="D36" s="91" t="str">
        <f>IF($A36="","",VLOOKUP($A36,'Annex 2 EHV charges'!$D:$O,4,0))</f>
        <v>KNWLTN</v>
      </c>
      <c r="E36" s="93" t="str">
        <f>IFERROR(IF(VLOOKUP($A36,'Annex 2 EHV charges'!$D:$O,9,FALSE)=0,"",VLOOKUP($A36,'Annex 2 EHV charges'!$D:$O,9,FALSE)),"")</f>
        <v/>
      </c>
      <c r="F36" s="94">
        <f>IFERROR(IF(VLOOKUP($A36,'Annex 2 EHV charges'!$D:$O,10,FALSE)=0,"",VLOOKUP($A36,'Annex 2 EHV charges'!$D:$O,10,FALSE)),"")</f>
        <v>1280.54</v>
      </c>
      <c r="G36" s="95">
        <f>IFERROR(IF(VLOOKUP($A36,'Annex 2 EHV charges'!$D:$O,11,FALSE)=0,"",VLOOKUP($A36,'Annex 2 EHV charges'!$D:$O,11,FALSE)),"")</f>
        <v>0.05</v>
      </c>
      <c r="H36" s="95">
        <f>IFERROR(IF(VLOOKUP($A36,'Annex 2 EHV charges'!$D:$O,12,FALSE)=0,"",VLOOKUP($A36,'Annex 2 EHV charges'!$D:$O,12,FALSE)),"")</f>
        <v>0.05</v>
      </c>
    </row>
    <row r="37" spans="1:8" ht="12.75" customHeight="1" x14ac:dyDescent="0.2">
      <c r="A37" s="92" t="str">
        <f t="array" ref="A37">IFERROR(INDEX('Annex 2 EHV charges'!$D$10:$D$259, MATCH(0, IF(ISBLANK('Annex 2 EHV charges'!$D$10:$D$259),1, COUNTIF(A$4:$A36, 'Annex 2 EHV charges'!$D$10:$D$259)), 0)),"")</f>
        <v>LBOURN</v>
      </c>
      <c r="B37" s="91">
        <f>IF($A37="","",VLOOKUP($A37,'Annex 2 EHV charges'!$D:$O,2,0))</f>
        <v>747</v>
      </c>
      <c r="C37" s="92">
        <f>IF($A37="","",VLOOKUP($A37,'Annex 2 EHV charges'!$D:$O,3,0))</f>
        <v>1900091171276</v>
      </c>
      <c r="D37" s="91" t="str">
        <f>IF($A37="","",VLOOKUP($A37,'Annex 2 EHV charges'!$D:$O,4,0))</f>
        <v>LBOURN</v>
      </c>
      <c r="E37" s="93" t="str">
        <f>IFERROR(IF(VLOOKUP($A37,'Annex 2 EHV charges'!$D:$O,9,FALSE)=0,"",VLOOKUP($A37,'Annex 2 EHV charges'!$D:$O,9,FALSE)),"")</f>
        <v/>
      </c>
      <c r="F37" s="94">
        <f>IFERROR(IF(VLOOKUP($A37,'Annex 2 EHV charges'!$D:$O,10,FALSE)=0,"",VLOOKUP($A37,'Annex 2 EHV charges'!$D:$O,10,FALSE)),"")</f>
        <v>737.29</v>
      </c>
      <c r="G37" s="95">
        <f>IFERROR(IF(VLOOKUP($A37,'Annex 2 EHV charges'!$D:$O,11,FALSE)=0,"",VLOOKUP($A37,'Annex 2 EHV charges'!$D:$O,11,FALSE)),"")</f>
        <v>0.05</v>
      </c>
      <c r="H37" s="95">
        <f>IFERROR(IF(VLOOKUP($A37,'Annex 2 EHV charges'!$D:$O,12,FALSE)=0,"",VLOOKUP($A37,'Annex 2 EHV charges'!$D:$O,12,FALSE)),"")</f>
        <v>0.05</v>
      </c>
    </row>
    <row r="38" spans="1:8" ht="12.75" customHeight="1" x14ac:dyDescent="0.2">
      <c r="A38" s="92" t="str">
        <f t="array" ref="A38">IFERROR(INDEX('Annex 2 EHV charges'!$D$10:$D$259, MATCH(0, IF(ISBLANK('Annex 2 EHV charges'!$D$10:$D$259),1, COUNTIF(A$4:$A37, 'Annex 2 EHV charges'!$D$10:$D$259)), 0)),"")</f>
        <v>LCHEYI</v>
      </c>
      <c r="B38" s="91">
        <f>IF($A38="","",VLOOKUP($A38,'Annex 2 EHV charges'!$D:$O,2,0))</f>
        <v>721</v>
      </c>
      <c r="C38" s="92">
        <f>IF($A38="","",VLOOKUP($A38,'Annex 2 EHV charges'!$D:$O,3,0))</f>
        <v>1900090194644</v>
      </c>
      <c r="D38" s="91" t="str">
        <f>IF($A38="","",VLOOKUP($A38,'Annex 2 EHV charges'!$D:$O,4,0))</f>
        <v>LCHEYI</v>
      </c>
      <c r="E38" s="93" t="str">
        <f>IFERROR(IF(VLOOKUP($A38,'Annex 2 EHV charges'!$D:$O,9,FALSE)=0,"",VLOOKUP($A38,'Annex 2 EHV charges'!$D:$O,9,FALSE)),"")</f>
        <v/>
      </c>
      <c r="F38" s="94">
        <f>IFERROR(IF(VLOOKUP($A38,'Annex 2 EHV charges'!$D:$O,10,FALSE)=0,"",VLOOKUP($A38,'Annex 2 EHV charges'!$D:$O,10,FALSE)),"")</f>
        <v>762.37</v>
      </c>
      <c r="G38" s="95">
        <f>IFERROR(IF(VLOOKUP($A38,'Annex 2 EHV charges'!$D:$O,11,FALSE)=0,"",VLOOKUP($A38,'Annex 2 EHV charges'!$D:$O,11,FALSE)),"")</f>
        <v>0.05</v>
      </c>
      <c r="H38" s="95">
        <f>IFERROR(IF(VLOOKUP($A38,'Annex 2 EHV charges'!$D:$O,12,FALSE)=0,"",VLOOKUP($A38,'Annex 2 EHV charges'!$D:$O,12,FALSE)),"")</f>
        <v>0.05</v>
      </c>
    </row>
    <row r="39" spans="1:8" ht="12.75" customHeight="1" x14ac:dyDescent="0.2">
      <c r="A39" s="92" t="str">
        <f t="array" ref="A39">IFERROR(INDEX('Annex 2 EHV charges'!$D$10:$D$259, MATCH(0, IF(ISBLANK('Annex 2 EHV charges'!$D$10:$D$259),1, COUNTIF(A$4:$A38, 'Annex 2 EHV charges'!$D$10:$D$259)), 0)),"")</f>
        <v>LENHAM</v>
      </c>
      <c r="B39" s="91">
        <f>IF($A39="","",VLOOKUP($A39,'Annex 2 EHV charges'!$D:$O,2,0))</f>
        <v>736</v>
      </c>
      <c r="C39" s="92">
        <f>IF($A39="","",VLOOKUP($A39,'Annex 2 EHV charges'!$D:$O,3,0))</f>
        <v>1900091081570</v>
      </c>
      <c r="D39" s="91" t="str">
        <f>IF($A39="","",VLOOKUP($A39,'Annex 2 EHV charges'!$D:$O,4,0))</f>
        <v>LENHAM</v>
      </c>
      <c r="E39" s="93" t="str">
        <f>IFERROR(IF(VLOOKUP($A39,'Annex 2 EHV charges'!$D:$O,9,FALSE)=0,"",VLOOKUP($A39,'Annex 2 EHV charges'!$D:$O,9,FALSE)),"")</f>
        <v/>
      </c>
      <c r="F39" s="94">
        <f>IFERROR(IF(VLOOKUP($A39,'Annex 2 EHV charges'!$D:$O,10,FALSE)=0,"",VLOOKUP($A39,'Annex 2 EHV charges'!$D:$O,10,FALSE)),"")</f>
        <v>1281.28</v>
      </c>
      <c r="G39" s="95">
        <f>IFERROR(IF(VLOOKUP($A39,'Annex 2 EHV charges'!$D:$O,11,FALSE)=0,"",VLOOKUP($A39,'Annex 2 EHV charges'!$D:$O,11,FALSE)),"")</f>
        <v>0.05</v>
      </c>
      <c r="H39" s="95">
        <f>IFERROR(IF(VLOOKUP($A39,'Annex 2 EHV charges'!$D:$O,12,FALSE)=0,"",VLOOKUP($A39,'Annex 2 EHV charges'!$D:$O,12,FALSE)),"")</f>
        <v>0.05</v>
      </c>
    </row>
    <row r="40" spans="1:8" ht="12.75" customHeight="1" x14ac:dyDescent="0.2">
      <c r="A40" s="92" t="str">
        <f t="array" ref="A40">IFERROR(INDEX('Annex 2 EHV charges'!$D$10:$D$259, MATCH(0, IF(ISBLANK('Annex 2 EHV charges'!$D$10:$D$259),1, COUNTIF(A$4:$A39, 'Annex 2 EHV charges'!$D$10:$D$259)), 0)),"")</f>
        <v>LGHTON</v>
      </c>
      <c r="B40" s="91">
        <f>IF($A40="","",VLOOKUP($A40,'Annex 2 EHV charges'!$D:$O,2,0))</f>
        <v>748</v>
      </c>
      <c r="C40" s="92">
        <f>IF($A40="","",VLOOKUP($A40,'Annex 2 EHV charges'!$D:$O,3,0))</f>
        <v>1900091200147</v>
      </c>
      <c r="D40" s="91" t="str">
        <f>IF($A40="","",VLOOKUP($A40,'Annex 2 EHV charges'!$D:$O,4,0))</f>
        <v>LGHTON</v>
      </c>
      <c r="E40" s="93" t="str">
        <f>IFERROR(IF(VLOOKUP($A40,'Annex 2 EHV charges'!$D:$O,9,FALSE)=0,"",VLOOKUP($A40,'Annex 2 EHV charges'!$D:$O,9,FALSE)),"")</f>
        <v/>
      </c>
      <c r="F40" s="94">
        <f>IFERROR(IF(VLOOKUP($A40,'Annex 2 EHV charges'!$D:$O,10,FALSE)=0,"",VLOOKUP($A40,'Annex 2 EHV charges'!$D:$O,10,FALSE)),"")</f>
        <v>769.07</v>
      </c>
      <c r="G40" s="95">
        <f>IFERROR(IF(VLOOKUP($A40,'Annex 2 EHV charges'!$D:$O,11,FALSE)=0,"",VLOOKUP($A40,'Annex 2 EHV charges'!$D:$O,11,FALSE)),"")</f>
        <v>0.05</v>
      </c>
      <c r="H40" s="95">
        <f>IFERROR(IF(VLOOKUP($A40,'Annex 2 EHV charges'!$D:$O,12,FALSE)=0,"",VLOOKUP($A40,'Annex 2 EHV charges'!$D:$O,12,FALSE)),"")</f>
        <v>0.05</v>
      </c>
    </row>
    <row r="41" spans="1:8" ht="12.75" customHeight="1" x14ac:dyDescent="0.2">
      <c r="A41" s="92" t="str">
        <f t="array" ref="A41">IFERROR(INDEX('Annex 2 EHV charges'!$D$10:$D$259, MATCH(0, IF(ISBLANK('Annex 2 EHV charges'!$D$10:$D$259),1, COUNTIF(A$4:$A40, 'Annex 2 EHV charges'!$D$10:$D$259)), 0)),"")</f>
        <v>MARSHB</v>
      </c>
      <c r="B41" s="91">
        <f>IF($A41="","",VLOOKUP($A41,'Annex 2 EHV charges'!$D:$O,2,0))</f>
        <v>709</v>
      </c>
      <c r="C41" s="92">
        <f>IF($A41="","",VLOOKUP($A41,'Annex 2 EHV charges'!$D:$O,3,0))</f>
        <v>1900091310601</v>
      </c>
      <c r="D41" s="91" t="str">
        <f>IF($A41="","",VLOOKUP($A41,'Annex 2 EHV charges'!$D:$O,4,0))</f>
        <v>MARSHB</v>
      </c>
      <c r="E41" s="93" t="str">
        <f>IFERROR(IF(VLOOKUP($A41,'Annex 2 EHV charges'!$D:$O,9,FALSE)=0,"",VLOOKUP($A41,'Annex 2 EHV charges'!$D:$O,9,FALSE)),"")</f>
        <v/>
      </c>
      <c r="F41" s="94">
        <f>IFERROR(IF(VLOOKUP($A41,'Annex 2 EHV charges'!$D:$O,10,FALSE)=0,"",VLOOKUP($A41,'Annex 2 EHV charges'!$D:$O,10,FALSE)),"")</f>
        <v>817.15</v>
      </c>
      <c r="G41" s="95">
        <f>IFERROR(IF(VLOOKUP($A41,'Annex 2 EHV charges'!$D:$O,11,FALSE)=0,"",VLOOKUP($A41,'Annex 2 EHV charges'!$D:$O,11,FALSE)),"")</f>
        <v>0.05</v>
      </c>
      <c r="H41" s="95">
        <f>IFERROR(IF(VLOOKUP($A41,'Annex 2 EHV charges'!$D:$O,12,FALSE)=0,"",VLOOKUP($A41,'Annex 2 EHV charges'!$D:$O,12,FALSE)),"")</f>
        <v>0.05</v>
      </c>
    </row>
    <row r="42" spans="1:8" ht="12.75" customHeight="1" x14ac:dyDescent="0.2">
      <c r="A42" s="92" t="str">
        <f t="array" ref="A42">IFERROR(INDEX('Annex 2 EHV charges'!$D$10:$D$259, MATCH(0, IF(ISBLANK('Annex 2 EHV charges'!$D$10:$D$259),1, COUNTIF(A$4:$A41, 'Annex 2 EHV charges'!$D$10:$D$259)), 0)),"")</f>
        <v>MLEHLL</v>
      </c>
      <c r="B42" s="91">
        <f>IF($A42="","",VLOOKUP($A42,'Annex 2 EHV charges'!$D:$O,2,0))</f>
        <v>751</v>
      </c>
      <c r="C42" s="92">
        <f>IF($A42="","",VLOOKUP($A42,'Annex 2 EHV charges'!$D:$O,3,0))</f>
        <v>1900091183411</v>
      </c>
      <c r="D42" s="91" t="str">
        <f>IF($A42="","",VLOOKUP($A42,'Annex 2 EHV charges'!$D:$O,4,0))</f>
        <v>MLEHLL</v>
      </c>
      <c r="E42" s="93" t="str">
        <f>IFERROR(IF(VLOOKUP($A42,'Annex 2 EHV charges'!$D:$O,9,FALSE)=0,"",VLOOKUP($A42,'Annex 2 EHV charges'!$D:$O,9,FALSE)),"")</f>
        <v/>
      </c>
      <c r="F42" s="94">
        <f>IFERROR(IF(VLOOKUP($A42,'Annex 2 EHV charges'!$D:$O,10,FALSE)=0,"",VLOOKUP($A42,'Annex 2 EHV charges'!$D:$O,10,FALSE)),"")</f>
        <v>311.39</v>
      </c>
      <c r="G42" s="95">
        <f>IFERROR(IF(VLOOKUP($A42,'Annex 2 EHV charges'!$D:$O,11,FALSE)=0,"",VLOOKUP($A42,'Annex 2 EHV charges'!$D:$O,11,FALSE)),"")</f>
        <v>0.05</v>
      </c>
      <c r="H42" s="95">
        <f>IFERROR(IF(VLOOKUP($A42,'Annex 2 EHV charges'!$D:$O,12,FALSE)=0,"",VLOOKUP($A42,'Annex 2 EHV charges'!$D:$O,12,FALSE)),"")</f>
        <v>0.05</v>
      </c>
    </row>
    <row r="43" spans="1:8" ht="12.75" customHeight="1" x14ac:dyDescent="0.2">
      <c r="A43" s="92" t="str">
        <f t="array" ref="A43">IFERROR(INDEX('Annex 2 EHV charges'!$D$10:$D$259, MATCH(0, IF(ISBLANK('Annex 2 EHV charges'!$D$10:$D$259),1, COUNTIF(A$4:$A42, 'Annex 2 EHV charges'!$D$10:$D$259)), 0)),"")</f>
        <v>MLMAYN</v>
      </c>
      <c r="B43" s="91">
        <f>IF($A43="","",VLOOKUP($A43,'Annex 2 EHV charges'!$D:$O,2,0))</f>
        <v>749</v>
      </c>
      <c r="C43" s="92">
        <f>IF($A43="","",VLOOKUP($A43,'Annex 2 EHV charges'!$D:$O,3,0))</f>
        <v>1900091079232</v>
      </c>
      <c r="D43" s="91" t="str">
        <f>IF($A43="","",VLOOKUP($A43,'Annex 2 EHV charges'!$D:$O,4,0))</f>
        <v>MLMAYN</v>
      </c>
      <c r="E43" s="93" t="str">
        <f>IFERROR(IF(VLOOKUP($A43,'Annex 2 EHV charges'!$D:$O,9,FALSE)=0,"",VLOOKUP($A43,'Annex 2 EHV charges'!$D:$O,9,FALSE)),"")</f>
        <v/>
      </c>
      <c r="F43" s="94">
        <f>IFERROR(IF(VLOOKUP($A43,'Annex 2 EHV charges'!$D:$O,10,FALSE)=0,"",VLOOKUP($A43,'Annex 2 EHV charges'!$D:$O,10,FALSE)),"")</f>
        <v>658.12</v>
      </c>
      <c r="G43" s="95">
        <f>IFERROR(IF(VLOOKUP($A43,'Annex 2 EHV charges'!$D:$O,11,FALSE)=0,"",VLOOKUP($A43,'Annex 2 EHV charges'!$D:$O,11,FALSE)),"")</f>
        <v>0.05</v>
      </c>
      <c r="H43" s="95">
        <f>IFERROR(IF(VLOOKUP($A43,'Annex 2 EHV charges'!$D:$O,12,FALSE)=0,"",VLOOKUP($A43,'Annex 2 EHV charges'!$D:$O,12,FALSE)),"")</f>
        <v>0.05</v>
      </c>
    </row>
    <row r="44" spans="1:8" ht="12.75" customHeight="1" x14ac:dyDescent="0.2">
      <c r="A44" s="92" t="str">
        <f t="array" ref="A44">IFERROR(INDEX('Annex 2 EHV charges'!$D$10:$D$259, MATCH(0, IF(ISBLANK('Annex 2 EHV charges'!$D$10:$D$259),1, COUNTIF(A$4:$A43, 'Annex 2 EHV charges'!$D$10:$D$259)), 0)),"")</f>
        <v>MVVRID</v>
      </c>
      <c r="B44" s="91">
        <f>IF($A44="","",VLOOKUP($A44,'Annex 2 EHV charges'!$D:$O,2,0))</f>
        <v>710</v>
      </c>
      <c r="C44" s="92">
        <f>IF($A44="","",VLOOKUP($A44,'Annex 2 EHV charges'!$D:$O,3,0))</f>
        <v>1900091199147</v>
      </c>
      <c r="D44" s="91" t="str">
        <f>IF($A44="","",VLOOKUP($A44,'Annex 2 EHV charges'!$D:$O,4,0))</f>
        <v>MVVRID</v>
      </c>
      <c r="E44" s="93" t="str">
        <f>IFERROR(IF(VLOOKUP($A44,'Annex 2 EHV charges'!$D:$O,9,FALSE)=0,"",VLOOKUP($A44,'Annex 2 EHV charges'!$D:$O,9,FALSE)),"")</f>
        <v/>
      </c>
      <c r="F44" s="94">
        <f>IFERROR(IF(VLOOKUP($A44,'Annex 2 EHV charges'!$D:$O,10,FALSE)=0,"",VLOOKUP($A44,'Annex 2 EHV charges'!$D:$O,10,FALSE)),"")</f>
        <v>5286.38</v>
      </c>
      <c r="G44" s="95">
        <f>IFERROR(IF(VLOOKUP($A44,'Annex 2 EHV charges'!$D:$O,11,FALSE)=0,"",VLOOKUP($A44,'Annex 2 EHV charges'!$D:$O,11,FALSE)),"")</f>
        <v>0.05</v>
      </c>
      <c r="H44" s="95">
        <f>IFERROR(IF(VLOOKUP($A44,'Annex 2 EHV charges'!$D:$O,12,FALSE)=0,"",VLOOKUP($A44,'Annex 2 EHV charges'!$D:$O,12,FALSE)),"")</f>
        <v>0.05</v>
      </c>
    </row>
    <row r="45" spans="1:8" ht="12.75" customHeight="1" x14ac:dyDescent="0.2">
      <c r="A45" s="92" t="str">
        <f t="array" ref="A45">IFERROR(INDEX('Annex 2 EHV charges'!$D$10:$D$259, MATCH(0, IF(ISBLANK('Annex 2 EHV charges'!$D$10:$D$259),1, COUNTIF(A$4:$A44, 'Annex 2 EHV charges'!$D$10:$D$259)), 0)),"")</f>
        <v>NEWHVN</v>
      </c>
      <c r="B45" s="91">
        <f>IF($A45="","",VLOOKUP($A45,'Annex 2 EHV charges'!$D:$O,2,0))</f>
        <v>700</v>
      </c>
      <c r="C45" s="92">
        <f>IF($A45="","",VLOOKUP($A45,'Annex 2 EHV charges'!$D:$O,3,0))</f>
        <v>1900090585005</v>
      </c>
      <c r="D45" s="91" t="str">
        <f>IF($A45="","",VLOOKUP($A45,'Annex 2 EHV charges'!$D:$O,4,0))</f>
        <v>NEWHVN</v>
      </c>
      <c r="E45" s="93">
        <f>IFERROR(IF(VLOOKUP($A45,'Annex 2 EHV charges'!$D:$O,9,FALSE)=0,"",VLOOKUP($A45,'Annex 2 EHV charges'!$D:$O,9,FALSE)),"")</f>
        <v>-0.60599999999999998</v>
      </c>
      <c r="F45" s="94">
        <f>IFERROR(IF(VLOOKUP($A45,'Annex 2 EHV charges'!$D:$O,10,FALSE)=0,"",VLOOKUP($A45,'Annex 2 EHV charges'!$D:$O,10,FALSE)),"")</f>
        <v>274.64</v>
      </c>
      <c r="G45" s="95">
        <f>IFERROR(IF(VLOOKUP($A45,'Annex 2 EHV charges'!$D:$O,11,FALSE)=0,"",VLOOKUP($A45,'Annex 2 EHV charges'!$D:$O,11,FALSE)),"")</f>
        <v>0.05</v>
      </c>
      <c r="H45" s="95">
        <f>IFERROR(IF(VLOOKUP($A45,'Annex 2 EHV charges'!$D:$O,12,FALSE)=0,"",VLOOKUP($A45,'Annex 2 EHV charges'!$D:$O,12,FALSE)),"")</f>
        <v>0.05</v>
      </c>
    </row>
    <row r="46" spans="1:8" ht="12.75" customHeight="1" x14ac:dyDescent="0.2">
      <c r="A46" s="92" t="str">
        <f t="array" ref="A46">IFERROR(INDEX('Annex 2 EHV charges'!$D$10:$D$259, MATCH(0, IF(ISBLANK('Annex 2 EHV charges'!$D$10:$D$259),1, COUNTIF(A$4:$A45, 'Annex 2 EHV charges'!$D$10:$D$259)), 0)),"")</f>
        <v>NEWRID</v>
      </c>
      <c r="B46" s="91">
        <f>IF($A46="","",VLOOKUP($A46,'Annex 2 EHV charges'!$D:$O,2,0))</f>
        <v>698</v>
      </c>
      <c r="C46" s="92">
        <f>IF($A46="","",VLOOKUP($A46,'Annex 2 EHV charges'!$D:$O,3,0))</f>
        <v>1900091718322</v>
      </c>
      <c r="D46" s="91" t="str">
        <f>IF($A46="","",VLOOKUP($A46,'Annex 2 EHV charges'!$D:$O,4,0))</f>
        <v>NEWRID</v>
      </c>
      <c r="E46" s="93" t="str">
        <f>IFERROR(IF(VLOOKUP($A46,'Annex 2 EHV charges'!$D:$O,9,FALSE)=0,"",VLOOKUP($A46,'Annex 2 EHV charges'!$D:$O,9,FALSE)),"")</f>
        <v/>
      </c>
      <c r="F46" s="94">
        <f>IFERROR(IF(VLOOKUP($A46,'Annex 2 EHV charges'!$D:$O,10,FALSE)=0,"",VLOOKUP($A46,'Annex 2 EHV charges'!$D:$O,10,FALSE)),"")</f>
        <v>1404.81</v>
      </c>
      <c r="G46" s="95">
        <f>IFERROR(IF(VLOOKUP($A46,'Annex 2 EHV charges'!$D:$O,11,FALSE)=0,"",VLOOKUP($A46,'Annex 2 EHV charges'!$D:$O,11,FALSE)),"")</f>
        <v>0.05</v>
      </c>
      <c r="H46" s="95">
        <f>IFERROR(IF(VLOOKUP($A46,'Annex 2 EHV charges'!$D:$O,12,FALSE)=0,"",VLOOKUP($A46,'Annex 2 EHV charges'!$D:$O,12,FALSE)),"")</f>
        <v>0.05</v>
      </c>
    </row>
    <row r="47" spans="1:8" ht="12.75" customHeight="1" x14ac:dyDescent="0.2">
      <c r="A47" s="92" t="str">
        <f t="array" ref="A47">IFERROR(INDEX('Annex 2 EHV charges'!$D$10:$D$259, MATCH(0, IF(ISBLANK('Annex 2 EHV charges'!$D$10:$D$259),1, COUNTIF(A$4:$A46, 'Annex 2 EHV charges'!$D$10:$D$259)), 0)),"")</f>
        <v>OAKLND</v>
      </c>
      <c r="B47" s="91">
        <f>IF($A47="","",VLOOKUP($A47,'Annex 2 EHV charges'!$D:$O,2,0))</f>
        <v>752</v>
      </c>
      <c r="C47" s="92">
        <f>IF($A47="","",VLOOKUP($A47,'Annex 2 EHV charges'!$D:$O,3,0))</f>
        <v>1900091197423</v>
      </c>
      <c r="D47" s="91" t="str">
        <f>IF($A47="","",VLOOKUP($A47,'Annex 2 EHV charges'!$D:$O,4,0))</f>
        <v>OAKLND</v>
      </c>
      <c r="E47" s="93" t="str">
        <f>IFERROR(IF(VLOOKUP($A47,'Annex 2 EHV charges'!$D:$O,9,FALSE)=0,"",VLOOKUP($A47,'Annex 2 EHV charges'!$D:$O,9,FALSE)),"")</f>
        <v/>
      </c>
      <c r="F47" s="94">
        <f>IFERROR(IF(VLOOKUP($A47,'Annex 2 EHV charges'!$D:$O,10,FALSE)=0,"",VLOOKUP($A47,'Annex 2 EHV charges'!$D:$O,10,FALSE)),"")</f>
        <v>628.38</v>
      </c>
      <c r="G47" s="95">
        <f>IFERROR(IF(VLOOKUP($A47,'Annex 2 EHV charges'!$D:$O,11,FALSE)=0,"",VLOOKUP($A47,'Annex 2 EHV charges'!$D:$O,11,FALSE)),"")</f>
        <v>0.05</v>
      </c>
      <c r="H47" s="95">
        <f>IFERROR(IF(VLOOKUP($A47,'Annex 2 EHV charges'!$D:$O,12,FALSE)=0,"",VLOOKUP($A47,'Annex 2 EHV charges'!$D:$O,12,FALSE)),"")</f>
        <v>0.05</v>
      </c>
    </row>
    <row r="48" spans="1:8" ht="12.75" customHeight="1" x14ac:dyDescent="0.2">
      <c r="A48" s="92" t="str">
        <f t="array" ref="A48">IFERROR(INDEX('Annex 2 EHV charges'!$D$10:$D$259, MATCH(0, IF(ISBLANK('Annex 2 EHV charges'!$D$10:$D$259),1, COUNTIF(A$4:$A47, 'Annex 2 EHV charges'!$D$10:$D$259)), 0)),"")</f>
        <v>OLDRSF</v>
      </c>
      <c r="B48" s="91">
        <f>IF($A48="","",VLOOKUP($A48,'Annex 2 EHV charges'!$D:$O,2,0))</f>
        <v>739</v>
      </c>
      <c r="C48" s="92">
        <f>IF($A48="","",VLOOKUP($A48,'Annex 2 EHV charges'!$D:$O,3,0))</f>
        <v>1900091024526</v>
      </c>
      <c r="D48" s="91" t="str">
        <f>IF($A48="","",VLOOKUP($A48,'Annex 2 EHV charges'!$D:$O,4,0))</f>
        <v>OLDRSF</v>
      </c>
      <c r="E48" s="93" t="str">
        <f>IFERROR(IF(VLOOKUP($A48,'Annex 2 EHV charges'!$D:$O,9,FALSE)=0,"",VLOOKUP($A48,'Annex 2 EHV charges'!$D:$O,9,FALSE)),"")</f>
        <v/>
      </c>
      <c r="F48" s="94">
        <f>IFERROR(IF(VLOOKUP($A48,'Annex 2 EHV charges'!$D:$O,10,FALSE)=0,"",VLOOKUP($A48,'Annex 2 EHV charges'!$D:$O,10,FALSE)),"")</f>
        <v>826.7</v>
      </c>
      <c r="G48" s="95">
        <f>IFERROR(IF(VLOOKUP($A48,'Annex 2 EHV charges'!$D:$O,11,FALSE)=0,"",VLOOKUP($A48,'Annex 2 EHV charges'!$D:$O,11,FALSE)),"")</f>
        <v>0.05</v>
      </c>
      <c r="H48" s="95">
        <f>IFERROR(IF(VLOOKUP($A48,'Annex 2 EHV charges'!$D:$O,12,FALSE)=0,"",VLOOKUP($A48,'Annex 2 EHV charges'!$D:$O,12,FALSE)),"")</f>
        <v>0.05</v>
      </c>
    </row>
    <row r="49" spans="1:8" ht="12.75" customHeight="1" x14ac:dyDescent="0.2">
      <c r="A49" s="92" t="str">
        <f t="array" ref="A49">IFERROR(INDEX('Annex 2 EHV charges'!$D$10:$D$259, MATCH(0, IF(ISBLANK('Annex 2 EHV charges'!$D$10:$D$259),1, COUNTIF(A$4:$A48, 'Annex 2 EHV charges'!$D$10:$D$259)), 0)),"")</f>
        <v>ORCHRD</v>
      </c>
      <c r="B49" s="91">
        <f>IF($A49="","",VLOOKUP($A49,'Annex 2 EHV charges'!$D:$O,2,0))</f>
        <v>753</v>
      </c>
      <c r="C49" s="92" t="str">
        <f>IF($A49="","",VLOOKUP($A49,'Annex 2 EHV charges'!$D:$O,3,0))</f>
        <v>1900091085110
1900091349724
1900091349733
1900091473671</v>
      </c>
      <c r="D49" s="91" t="str">
        <f>IF($A49="","",VLOOKUP($A49,'Annex 2 EHV charges'!$D:$O,4,0))</f>
        <v>ORCHRD</v>
      </c>
      <c r="E49" s="93" t="str">
        <f>IFERROR(IF(VLOOKUP($A49,'Annex 2 EHV charges'!$D:$O,9,FALSE)=0,"",VLOOKUP($A49,'Annex 2 EHV charges'!$D:$O,9,FALSE)),"")</f>
        <v/>
      </c>
      <c r="F49" s="94">
        <f>IFERROR(IF(VLOOKUP($A49,'Annex 2 EHV charges'!$D:$O,10,FALSE)=0,"",VLOOKUP($A49,'Annex 2 EHV charges'!$D:$O,10,FALSE)),"")</f>
        <v>933.53</v>
      </c>
      <c r="G49" s="95">
        <f>IFERROR(IF(VLOOKUP($A49,'Annex 2 EHV charges'!$D:$O,11,FALSE)=0,"",VLOOKUP($A49,'Annex 2 EHV charges'!$D:$O,11,FALSE)),"")</f>
        <v>0.05</v>
      </c>
      <c r="H49" s="95">
        <f>IFERROR(IF(VLOOKUP($A49,'Annex 2 EHV charges'!$D:$O,12,FALSE)=0,"",VLOOKUP($A49,'Annex 2 EHV charges'!$D:$O,12,FALSE)),"")</f>
        <v>0.05</v>
      </c>
    </row>
    <row r="50" spans="1:8" ht="12.75" customHeight="1" x14ac:dyDescent="0.2">
      <c r="A50" s="92" t="str">
        <f t="array" ref="A50">IFERROR(INDEX('Annex 2 EHV charges'!$D$10:$D$259, MATCH(0, IF(ISBLANK('Annex 2 EHV charges'!$D$10:$D$259),1, COUNTIF(A$4:$A49, 'Annex 2 EHV charges'!$D$10:$D$259)), 0)),"")</f>
        <v>PADWSF</v>
      </c>
      <c r="B50" s="91">
        <f>IF($A50="","",VLOOKUP($A50,'Annex 2 EHV charges'!$D:$O,2,0))</f>
        <v>754</v>
      </c>
      <c r="C50" s="92">
        <f>IF($A50="","",VLOOKUP($A50,'Annex 2 EHV charges'!$D:$O,3,0))</f>
        <v>1900091216643</v>
      </c>
      <c r="D50" s="91" t="str">
        <f>IF($A50="","",VLOOKUP($A50,'Annex 2 EHV charges'!$D:$O,4,0))</f>
        <v>PADWSF</v>
      </c>
      <c r="E50" s="93" t="str">
        <f>IFERROR(IF(VLOOKUP($A50,'Annex 2 EHV charges'!$D:$O,9,FALSE)=0,"",VLOOKUP($A50,'Annex 2 EHV charges'!$D:$O,9,FALSE)),"")</f>
        <v/>
      </c>
      <c r="F50" s="94">
        <f>IFERROR(IF(VLOOKUP($A50,'Annex 2 EHV charges'!$D:$O,10,FALSE)=0,"",VLOOKUP($A50,'Annex 2 EHV charges'!$D:$O,10,FALSE)),"")</f>
        <v>686.88</v>
      </c>
      <c r="G50" s="95">
        <f>IFERROR(IF(VLOOKUP($A50,'Annex 2 EHV charges'!$D:$O,11,FALSE)=0,"",VLOOKUP($A50,'Annex 2 EHV charges'!$D:$O,11,FALSE)),"")</f>
        <v>0.05</v>
      </c>
      <c r="H50" s="95">
        <f>IFERROR(IF(VLOOKUP($A50,'Annex 2 EHV charges'!$D:$O,12,FALSE)=0,"",VLOOKUP($A50,'Annex 2 EHV charges'!$D:$O,12,FALSE)),"")</f>
        <v>0.05</v>
      </c>
    </row>
    <row r="51" spans="1:8" ht="12.75" customHeight="1" x14ac:dyDescent="0.2">
      <c r="A51" s="92" t="str">
        <f t="array" ref="A51">IFERROR(INDEX('Annex 2 EHV charges'!$D$10:$D$259, MATCH(0, IF(ISBLANK('Annex 2 EHV charges'!$D$10:$D$259),1, COUNTIF(A$4:$A50, 'Annex 2 EHV charges'!$D$10:$D$259)), 0)),"")</f>
        <v>POSHWF</v>
      </c>
      <c r="B51" s="91">
        <f>IF($A51="","",VLOOKUP($A51,'Annex 2 EHV charges'!$D:$O,2,0))</f>
        <v>719</v>
      </c>
      <c r="C51" s="92">
        <f>IF($A51="","",VLOOKUP($A51,'Annex 2 EHV charges'!$D:$O,3,0))</f>
        <v>1900091227316</v>
      </c>
      <c r="D51" s="91" t="str">
        <f>IF($A51="","",VLOOKUP($A51,'Annex 2 EHV charges'!$D:$O,4,0))</f>
        <v>POSHWF</v>
      </c>
      <c r="E51" s="93" t="str">
        <f>IFERROR(IF(VLOOKUP($A51,'Annex 2 EHV charges'!$D:$O,9,FALSE)=0,"",VLOOKUP($A51,'Annex 2 EHV charges'!$D:$O,9,FALSE)),"")</f>
        <v/>
      </c>
      <c r="F51" s="94">
        <f>IFERROR(IF(VLOOKUP($A51,'Annex 2 EHV charges'!$D:$O,10,FALSE)=0,"",VLOOKUP($A51,'Annex 2 EHV charges'!$D:$O,10,FALSE)),"")</f>
        <v>307.72000000000003</v>
      </c>
      <c r="G51" s="95">
        <f>IFERROR(IF(VLOOKUP($A51,'Annex 2 EHV charges'!$D:$O,11,FALSE)=0,"",VLOOKUP($A51,'Annex 2 EHV charges'!$D:$O,11,FALSE)),"")</f>
        <v>0.05</v>
      </c>
      <c r="H51" s="95">
        <f>IFERROR(IF(VLOOKUP($A51,'Annex 2 EHV charges'!$D:$O,12,FALSE)=0,"",VLOOKUP($A51,'Annex 2 EHV charges'!$D:$O,12,FALSE)),"")</f>
        <v>0.05</v>
      </c>
    </row>
    <row r="52" spans="1:8" ht="12.75" customHeight="1" x14ac:dyDescent="0.2">
      <c r="A52" s="92" t="str">
        <f t="array" ref="A52">IFERROR(INDEX('Annex 2 EHV charges'!$D$10:$D$259, MATCH(0, IF(ISBLANK('Annex 2 EHV charges'!$D$10:$D$259),1, COUNTIF(A$4:$A51, 'Annex 2 EHV charges'!$D$10:$D$259)), 0)),"")</f>
        <v>PRIORS</v>
      </c>
      <c r="B52" s="91">
        <f>IF($A52="","",VLOOKUP($A52,'Annex 2 EHV charges'!$D:$O,2,0))</f>
        <v>717</v>
      </c>
      <c r="C52" s="92">
        <f>IF($A52="","",VLOOKUP($A52,'Annex 2 EHV charges'!$D:$O,3,0))</f>
        <v>1900091320006</v>
      </c>
      <c r="D52" s="91" t="str">
        <f>IF($A52="","",VLOOKUP($A52,'Annex 2 EHV charges'!$D:$O,4,0))</f>
        <v>PRIORS</v>
      </c>
      <c r="E52" s="93" t="str">
        <f>IFERROR(IF(VLOOKUP($A52,'Annex 2 EHV charges'!$D:$O,9,FALSE)=0,"",VLOOKUP($A52,'Annex 2 EHV charges'!$D:$O,9,FALSE)),"")</f>
        <v/>
      </c>
      <c r="F52" s="94">
        <f>IFERROR(IF(VLOOKUP($A52,'Annex 2 EHV charges'!$D:$O,10,FALSE)=0,"",VLOOKUP($A52,'Annex 2 EHV charges'!$D:$O,10,FALSE)),"")</f>
        <v>648.83000000000004</v>
      </c>
      <c r="G52" s="95">
        <f>IFERROR(IF(VLOOKUP($A52,'Annex 2 EHV charges'!$D:$O,11,FALSE)=0,"",VLOOKUP($A52,'Annex 2 EHV charges'!$D:$O,11,FALSE)),"")</f>
        <v>0.05</v>
      </c>
      <c r="H52" s="95">
        <f>IFERROR(IF(VLOOKUP($A52,'Annex 2 EHV charges'!$D:$O,12,FALSE)=0,"",VLOOKUP($A52,'Annex 2 EHV charges'!$D:$O,12,FALSE)),"")</f>
        <v>0.05</v>
      </c>
    </row>
    <row r="53" spans="1:8" ht="12.75" customHeight="1" x14ac:dyDescent="0.2">
      <c r="A53" s="92" t="str">
        <f t="array" ref="A53">IFERROR(INDEX('Annex 2 EHV charges'!$D$10:$D$259, MATCH(0, IF(ISBLANK('Annex 2 EHV charges'!$D$10:$D$259),1, COUNTIF(A$4:$A52, 'Annex 2 EHV charges'!$D$10:$D$259)), 0)),"")</f>
        <v>PSHLEY</v>
      </c>
      <c r="B53" s="91">
        <f>IF($A53="","",VLOOKUP($A53,'Annex 2 EHV charges'!$D:$O,2,0))</f>
        <v>703</v>
      </c>
      <c r="C53" s="92">
        <f>IF($A53="","",VLOOKUP($A53,'Annex 2 EHV charges'!$D:$O,3,0))</f>
        <v>1900091178963</v>
      </c>
      <c r="D53" s="91" t="str">
        <f>IF($A53="","",VLOOKUP($A53,'Annex 2 EHV charges'!$D:$O,4,0))</f>
        <v>PSHLEY</v>
      </c>
      <c r="E53" s="93" t="str">
        <f>IFERROR(IF(VLOOKUP($A53,'Annex 2 EHV charges'!$D:$O,9,FALSE)=0,"",VLOOKUP($A53,'Annex 2 EHV charges'!$D:$O,9,FALSE)),"")</f>
        <v/>
      </c>
      <c r="F53" s="94">
        <f>IFERROR(IF(VLOOKUP($A53,'Annex 2 EHV charges'!$D:$O,10,FALSE)=0,"",VLOOKUP($A53,'Annex 2 EHV charges'!$D:$O,10,FALSE)),"")</f>
        <v>1171.32</v>
      </c>
      <c r="G53" s="95">
        <f>IFERROR(IF(VLOOKUP($A53,'Annex 2 EHV charges'!$D:$O,11,FALSE)=0,"",VLOOKUP($A53,'Annex 2 EHV charges'!$D:$O,11,FALSE)),"")</f>
        <v>0.05</v>
      </c>
      <c r="H53" s="95">
        <f>IFERROR(IF(VLOOKUP($A53,'Annex 2 EHV charges'!$D:$O,12,FALSE)=0,"",VLOOKUP($A53,'Annex 2 EHV charges'!$D:$O,12,FALSE)),"")</f>
        <v>0.05</v>
      </c>
    </row>
    <row r="54" spans="1:8" ht="12.75" customHeight="1" x14ac:dyDescent="0.2">
      <c r="A54" s="92" t="str">
        <f t="array" ref="A54">IFERROR(INDEX('Annex 2 EHV charges'!$D$10:$D$259, MATCH(0, IF(ISBLANK('Annex 2 EHV charges'!$D$10:$D$259),1, COUNTIF(A$4:$A53, 'Annex 2 EHV charges'!$D$10:$D$259)), 0)),"")</f>
        <v>SELLSF</v>
      </c>
      <c r="B54" s="91">
        <f>IF($A54="","",VLOOKUP($A54,'Annex 2 EHV charges'!$D:$O,2,0))</f>
        <v>720</v>
      </c>
      <c r="C54" s="92">
        <f>IF($A54="","",VLOOKUP($A54,'Annex 2 EHV charges'!$D:$O,3,0))</f>
        <v>1900091360969</v>
      </c>
      <c r="D54" s="91" t="str">
        <f>IF($A54="","",VLOOKUP($A54,'Annex 2 EHV charges'!$D:$O,4,0))</f>
        <v>SELLSF</v>
      </c>
      <c r="E54" s="93" t="str">
        <f>IFERROR(IF(VLOOKUP($A54,'Annex 2 EHV charges'!$D:$O,9,FALSE)=0,"",VLOOKUP($A54,'Annex 2 EHV charges'!$D:$O,9,FALSE)),"")</f>
        <v/>
      </c>
      <c r="F54" s="94">
        <f>IFERROR(IF(VLOOKUP($A54,'Annex 2 EHV charges'!$D:$O,10,FALSE)=0,"",VLOOKUP($A54,'Annex 2 EHV charges'!$D:$O,10,FALSE)),"")</f>
        <v>719.24</v>
      </c>
      <c r="G54" s="95">
        <f>IFERROR(IF(VLOOKUP($A54,'Annex 2 EHV charges'!$D:$O,11,FALSE)=0,"",VLOOKUP($A54,'Annex 2 EHV charges'!$D:$O,11,FALSE)),"")</f>
        <v>0.05</v>
      </c>
      <c r="H54" s="95">
        <f>IFERROR(IF(VLOOKUP($A54,'Annex 2 EHV charges'!$D:$O,12,FALSE)=0,"",VLOOKUP($A54,'Annex 2 EHV charges'!$D:$O,12,FALSE)),"")</f>
        <v>0.05</v>
      </c>
    </row>
    <row r="55" spans="1:8" ht="12.75" customHeight="1" x14ac:dyDescent="0.2">
      <c r="A55" s="92" t="str">
        <f t="array" ref="A55">IFERROR(INDEX('Annex 2 EHV charges'!$D$10:$D$259, MATCH(0, IF(ISBLANK('Annex 2 EHV charges'!$D$10:$D$259),1, COUNTIF(A$4:$A54, 'Annex 2 EHV charges'!$D$10:$D$259)), 0)),"")</f>
        <v>SEVIND</v>
      </c>
      <c r="B55" s="91">
        <f>IF($A55="","",VLOOKUP($A55,'Annex 2 EHV charges'!$D:$O,2,0))</f>
        <v>0</v>
      </c>
      <c r="C55" s="92" t="str">
        <f>IF($A55="","",VLOOKUP($A55,'Annex 2 EHV charges'!$D:$O,3,0))</f>
        <v>MSID: 7160</v>
      </c>
      <c r="D55" s="91" t="str">
        <f>IF($A55="","",VLOOKUP($A55,'Annex 2 EHV charges'!$D:$O,4,0))</f>
        <v>SEVIND</v>
      </c>
      <c r="E55" s="93">
        <f>IFERROR(IF(VLOOKUP($A55,'Annex 2 EHV charges'!$D:$O,9,FALSE)=0,"",VLOOKUP($A55,'Annex 2 EHV charges'!$D:$O,9,FALSE)),"")</f>
        <v>-0.65</v>
      </c>
      <c r="F55" s="94">
        <f>IFERROR(IF(VLOOKUP($A55,'Annex 2 EHV charges'!$D:$O,10,FALSE)=0,"",VLOOKUP($A55,'Annex 2 EHV charges'!$D:$O,10,FALSE)),"")</f>
        <v>108.06</v>
      </c>
      <c r="G55" s="95">
        <f>IFERROR(IF(VLOOKUP($A55,'Annex 2 EHV charges'!$D:$O,11,FALSE)=0,"",VLOOKUP($A55,'Annex 2 EHV charges'!$D:$O,11,FALSE)),"")</f>
        <v>0.05</v>
      </c>
      <c r="H55" s="95">
        <f>IFERROR(IF(VLOOKUP($A55,'Annex 2 EHV charges'!$D:$O,12,FALSE)=0,"",VLOOKUP($A55,'Annex 2 EHV charges'!$D:$O,12,FALSE)),"")</f>
        <v>0.05</v>
      </c>
    </row>
    <row r="56" spans="1:8" ht="12.75" customHeight="1" x14ac:dyDescent="0.2">
      <c r="A56" s="92" t="str">
        <f t="array" ref="A56">IFERROR(INDEX('Annex 2 EHV charges'!$D$10:$D$259, MATCH(0, IF(ISBLANK('Annex 2 EHV charges'!$D$10:$D$259),1, COUNTIF(A$4:$A55, 'Annex 2 EHV charges'!$D$10:$D$259)), 0)),"")</f>
        <v>SHEPHM</v>
      </c>
      <c r="B56" s="91">
        <f>IF($A56="","",VLOOKUP($A56,'Annex 2 EHV charges'!$D:$O,2,0))</f>
        <v>718</v>
      </c>
      <c r="C56" s="92">
        <f>IF($A56="","",VLOOKUP($A56,'Annex 2 EHV charges'!$D:$O,3,0))</f>
        <v>1900091420137</v>
      </c>
      <c r="D56" s="91" t="str">
        <f>IF($A56="","",VLOOKUP($A56,'Annex 2 EHV charges'!$D:$O,4,0))</f>
        <v>SHEPHM</v>
      </c>
      <c r="E56" s="93" t="str">
        <f>IFERROR(IF(VLOOKUP($A56,'Annex 2 EHV charges'!$D:$O,9,FALSE)=0,"",VLOOKUP($A56,'Annex 2 EHV charges'!$D:$O,9,FALSE)),"")</f>
        <v/>
      </c>
      <c r="F56" s="94">
        <f>IFERROR(IF(VLOOKUP($A56,'Annex 2 EHV charges'!$D:$O,10,FALSE)=0,"",VLOOKUP($A56,'Annex 2 EHV charges'!$D:$O,10,FALSE)),"")</f>
        <v>1720.73</v>
      </c>
      <c r="G56" s="95">
        <f>IFERROR(IF(VLOOKUP($A56,'Annex 2 EHV charges'!$D:$O,11,FALSE)=0,"",VLOOKUP($A56,'Annex 2 EHV charges'!$D:$O,11,FALSE)),"")</f>
        <v>0.05</v>
      </c>
      <c r="H56" s="95">
        <f>IFERROR(IF(VLOOKUP($A56,'Annex 2 EHV charges'!$D:$O,12,FALSE)=0,"",VLOOKUP($A56,'Annex 2 EHV charges'!$D:$O,12,FALSE)),"")</f>
        <v>0.05</v>
      </c>
    </row>
    <row r="57" spans="1:8" ht="12.75" customHeight="1" x14ac:dyDescent="0.2">
      <c r="A57" s="92" t="str">
        <f t="array" ref="A57">IFERROR(INDEX('Annex 2 EHV charges'!$D$10:$D$259, MATCH(0, IF(ISBLANK('Annex 2 EHV charges'!$D$10:$D$259),1, COUNTIF(A$4:$A56, 'Annex 2 EHV charges'!$D$10:$D$259)), 0)),"")</f>
        <v>SHORHM</v>
      </c>
      <c r="B57" s="91">
        <f>IF($A57="","",VLOOKUP($A57,'Annex 2 EHV charges'!$D:$O,2,0))</f>
        <v>0</v>
      </c>
      <c r="C57" s="92" t="str">
        <f>IF($A57="","",VLOOKUP($A57,'Annex 2 EHV charges'!$D:$O,3,0))</f>
        <v>MSID: 7105</v>
      </c>
      <c r="D57" s="91" t="str">
        <f>IF($A57="","",VLOOKUP($A57,'Annex 2 EHV charges'!$D:$O,4,0))</f>
        <v>SHORHM</v>
      </c>
      <c r="E57" s="93" t="str">
        <f>IFERROR(IF(VLOOKUP($A57,'Annex 2 EHV charges'!$D:$O,9,FALSE)=0,"",VLOOKUP($A57,'Annex 2 EHV charges'!$D:$O,9,FALSE)),"")</f>
        <v/>
      </c>
      <c r="F57" s="94" t="str">
        <f>IFERROR(IF(VLOOKUP($A57,'Annex 2 EHV charges'!$D:$O,10,FALSE)=0,"",VLOOKUP($A57,'Annex 2 EHV charges'!$D:$O,10,FALSE)),"")</f>
        <v/>
      </c>
      <c r="G57" s="95" t="str">
        <f>IFERROR(IF(VLOOKUP($A57,'Annex 2 EHV charges'!$D:$O,11,FALSE)=0,"",VLOOKUP($A57,'Annex 2 EHV charges'!$D:$O,11,FALSE)),"")</f>
        <v/>
      </c>
      <c r="H57" s="95" t="str">
        <f>IFERROR(IF(VLOOKUP($A57,'Annex 2 EHV charges'!$D:$O,12,FALSE)=0,"",VLOOKUP($A57,'Annex 2 EHV charges'!$D:$O,12,FALSE)),"")</f>
        <v/>
      </c>
    </row>
    <row r="58" spans="1:8" ht="12.75" customHeight="1" x14ac:dyDescent="0.2">
      <c r="A58" s="92" t="str">
        <f t="array" ref="A58">IFERROR(INDEX('Annex 2 EHV charges'!$D$10:$D$259, MATCH(0, IF(ISBLANK('Annex 2 EHV charges'!$D$10:$D$259),1, COUNTIF(A$4:$A57, 'Annex 2 EHV charges'!$D$10:$D$259)), 0)),"")</f>
        <v>SOLEES</v>
      </c>
      <c r="B58" s="91">
        <f>IF($A58="","",VLOOKUP($A58,'Annex 2 EHV charges'!$D:$O,2,0))</f>
        <v>755</v>
      </c>
      <c r="C58" s="92" t="str">
        <f>IF($A58="","",VLOOKUP($A58,'Annex 2 EHV charges'!$D:$O,3,0))</f>
        <v>1900091121266
1900091121284</v>
      </c>
      <c r="D58" s="91" t="str">
        <f>IF($A58="","",VLOOKUP($A58,'Annex 2 EHV charges'!$D:$O,4,0))</f>
        <v>SOLEES</v>
      </c>
      <c r="E58" s="93" t="str">
        <f>IFERROR(IF(VLOOKUP($A58,'Annex 2 EHV charges'!$D:$O,9,FALSE)=0,"",VLOOKUP($A58,'Annex 2 EHV charges'!$D:$O,9,FALSE)),"")</f>
        <v/>
      </c>
      <c r="F58" s="94">
        <f>IFERROR(IF(VLOOKUP($A58,'Annex 2 EHV charges'!$D:$O,10,FALSE)=0,"",VLOOKUP($A58,'Annex 2 EHV charges'!$D:$O,10,FALSE)),"")</f>
        <v>1598.22</v>
      </c>
      <c r="G58" s="95">
        <f>IFERROR(IF(VLOOKUP($A58,'Annex 2 EHV charges'!$D:$O,11,FALSE)=0,"",VLOOKUP($A58,'Annex 2 EHV charges'!$D:$O,11,FALSE)),"")</f>
        <v>0.05</v>
      </c>
      <c r="H58" s="95">
        <f>IFERROR(IF(VLOOKUP($A58,'Annex 2 EHV charges'!$D:$O,12,FALSE)=0,"",VLOOKUP($A58,'Annex 2 EHV charges'!$D:$O,12,FALSE)),"")</f>
        <v>0.05</v>
      </c>
    </row>
    <row r="59" spans="1:8" ht="12.75" customHeight="1" x14ac:dyDescent="0.2">
      <c r="A59" s="92" t="str">
        <f t="array" ref="A59">IFERROR(INDEX('Annex 2 EHV charges'!$D$10:$D$259, MATCH(0, IF(ISBLANK('Annex 2 EHV charges'!$D$10:$D$259),1, COUNTIF(A$4:$A58, 'Annex 2 EHV charges'!$D$10:$D$259)), 0)),"")</f>
        <v>STAREN</v>
      </c>
      <c r="B59" s="91">
        <f>IF($A59="","",VLOOKUP($A59,'Annex 2 EHV charges'!$D:$O,2,0))</f>
        <v>729</v>
      </c>
      <c r="C59" s="92">
        <f>IF($A59="","",VLOOKUP($A59,'Annex 2 EHV charges'!$D:$O,3,0))</f>
        <v>1900060830226</v>
      </c>
      <c r="D59" s="91" t="str">
        <f>IF($A59="","",VLOOKUP($A59,'Annex 2 EHV charges'!$D:$O,4,0))</f>
        <v>STAREN</v>
      </c>
      <c r="E59" s="93" t="str">
        <f>IFERROR(IF(VLOOKUP($A59,'Annex 2 EHV charges'!$D:$O,9,FALSE)=0,"",VLOOKUP($A59,'Annex 2 EHV charges'!$D:$O,9,FALSE)),"")</f>
        <v/>
      </c>
      <c r="F59" s="94" t="str">
        <f>IFERROR(IF(VLOOKUP($A59,'Annex 2 EHV charges'!$D:$O,10,FALSE)=0,"",VLOOKUP($A59,'Annex 2 EHV charges'!$D:$O,10,FALSE)),"")</f>
        <v/>
      </c>
      <c r="G59" s="95" t="str">
        <f>IFERROR(IF(VLOOKUP($A59,'Annex 2 EHV charges'!$D:$O,11,FALSE)=0,"",VLOOKUP($A59,'Annex 2 EHV charges'!$D:$O,11,FALSE)),"")</f>
        <v/>
      </c>
      <c r="H59" s="95" t="str">
        <f>IFERROR(IF(VLOOKUP($A59,'Annex 2 EHV charges'!$D:$O,12,FALSE)=0,"",VLOOKUP($A59,'Annex 2 EHV charges'!$D:$O,12,FALSE)),"")</f>
        <v/>
      </c>
    </row>
    <row r="60" spans="1:8" ht="12.75" customHeight="1" x14ac:dyDescent="0.2">
      <c r="A60" s="92" t="str">
        <f t="array" ref="A60">IFERROR(INDEX('Annex 2 EHV charges'!$D$10:$D$259, MATCH(0, IF(ISBLANK('Annex 2 EHV charges'!$D$10:$D$259),1, COUNTIF(A$4:$A59, 'Annex 2 EHV charges'!$D$10:$D$259)), 0)),"")</f>
        <v>SYCAMR</v>
      </c>
      <c r="B60" s="91">
        <f>IF($A60="","",VLOOKUP($A60,'Annex 2 EHV charges'!$D:$O,2,0))</f>
        <v>737</v>
      </c>
      <c r="C60" s="92">
        <f>IF($A60="","",VLOOKUP($A60,'Annex 2 EHV charges'!$D:$O,3,0))</f>
        <v>1900091090101</v>
      </c>
      <c r="D60" s="91" t="str">
        <f>IF($A60="","",VLOOKUP($A60,'Annex 2 EHV charges'!$D:$O,4,0))</f>
        <v>SYCAMR</v>
      </c>
      <c r="E60" s="93" t="str">
        <f>IFERROR(IF(VLOOKUP($A60,'Annex 2 EHV charges'!$D:$O,9,FALSE)=0,"",VLOOKUP($A60,'Annex 2 EHV charges'!$D:$O,9,FALSE)),"")</f>
        <v/>
      </c>
      <c r="F60" s="94">
        <f>IFERROR(IF(VLOOKUP($A60,'Annex 2 EHV charges'!$D:$O,10,FALSE)=0,"",VLOOKUP($A60,'Annex 2 EHV charges'!$D:$O,10,FALSE)),"")</f>
        <v>2077.2399999999998</v>
      </c>
      <c r="G60" s="95">
        <f>IFERROR(IF(VLOOKUP($A60,'Annex 2 EHV charges'!$D:$O,11,FALSE)=0,"",VLOOKUP($A60,'Annex 2 EHV charges'!$D:$O,11,FALSE)),"")</f>
        <v>0.05</v>
      </c>
      <c r="H60" s="95">
        <f>IFERROR(IF(VLOOKUP($A60,'Annex 2 EHV charges'!$D:$O,12,FALSE)=0,"",VLOOKUP($A60,'Annex 2 EHV charges'!$D:$O,12,FALSE)),"")</f>
        <v>0.05</v>
      </c>
    </row>
    <row r="61" spans="1:8" ht="12.75" customHeight="1" x14ac:dyDescent="0.2">
      <c r="A61" s="92" t="str">
        <f t="array" ref="A61">IFERROR(INDEX('Annex 2 EHV charges'!$D$10:$D$259, MATCH(0, IF(ISBLANK('Annex 2 EHV charges'!$D$10:$D$259),1, COUNTIF(A$4:$A60, 'Annex 2 EHV charges'!$D$10:$D$259)), 0)),"")</f>
        <v>THAEAR</v>
      </c>
      <c r="B61" s="91">
        <f>IF($A61="","",VLOOKUP($A61,'Annex 2 EHV charges'!$D:$O,2,0))</f>
        <v>733</v>
      </c>
      <c r="C61" s="92" t="str">
        <f>IF($A61="","",VLOOKUP($A61,'Annex 2 EHV charges'!$D:$O,3,0))</f>
        <v>1900090417160
1900090417189
1900090417212
1900090417221
1900090417230</v>
      </c>
      <c r="D61" s="91" t="str">
        <f>IF($A61="","",VLOOKUP($A61,'Annex 2 EHV charges'!$D:$O,4,0))</f>
        <v>THAEAR</v>
      </c>
      <c r="E61" s="93" t="str">
        <f>IFERROR(IF(VLOOKUP($A61,'Annex 2 EHV charges'!$D:$O,9,FALSE)=0,"",VLOOKUP($A61,'Annex 2 EHV charges'!$D:$O,9,FALSE)),"")</f>
        <v/>
      </c>
      <c r="F61" s="94">
        <f>IFERROR(IF(VLOOKUP($A61,'Annex 2 EHV charges'!$D:$O,10,FALSE)=0,"",VLOOKUP($A61,'Annex 2 EHV charges'!$D:$O,10,FALSE)),"")</f>
        <v>3211.71</v>
      </c>
      <c r="G61" s="95">
        <f>IFERROR(IF(VLOOKUP($A61,'Annex 2 EHV charges'!$D:$O,11,FALSE)=0,"",VLOOKUP($A61,'Annex 2 EHV charges'!$D:$O,11,FALSE)),"")</f>
        <v>0.05</v>
      </c>
      <c r="H61" s="95">
        <f>IFERROR(IF(VLOOKUP($A61,'Annex 2 EHV charges'!$D:$O,12,FALSE)=0,"",VLOOKUP($A61,'Annex 2 EHV charges'!$D:$O,12,FALSE)),"")</f>
        <v>0.05</v>
      </c>
    </row>
    <row r="62" spans="1:8" ht="12.75" customHeight="1" x14ac:dyDescent="0.2">
      <c r="A62" s="92" t="str">
        <f t="array" ref="A62">IFERROR(INDEX('Annex 2 EHV charges'!$D$10:$D$259, MATCH(0, IF(ISBLANK('Annex 2 EHV charges'!$D$10:$D$259),1, COUNTIF(A$4:$A61, 'Annex 2 EHV charges'!$D$10:$D$259)), 0)),"")</f>
        <v>THANET</v>
      </c>
      <c r="B62" s="91">
        <f>IF($A62="","",VLOOKUP($A62,'Annex 2 EHV charges'!$D:$O,2,0))</f>
        <v>0</v>
      </c>
      <c r="C62" s="92" t="str">
        <f>IF($A62="","",VLOOKUP($A62,'Annex 2 EHV charges'!$D:$O,3,0))</f>
        <v>MSID: 7230</v>
      </c>
      <c r="D62" s="91" t="str">
        <f>IF($A62="","",VLOOKUP($A62,'Annex 2 EHV charges'!$D:$O,4,0))</f>
        <v>THANET</v>
      </c>
      <c r="E62" s="93" t="str">
        <f>IFERROR(IF(VLOOKUP($A62,'Annex 2 EHV charges'!$D:$O,9,FALSE)=0,"",VLOOKUP($A62,'Annex 2 EHV charges'!$D:$O,9,FALSE)),"")</f>
        <v/>
      </c>
      <c r="F62" s="94">
        <f>IFERROR(IF(VLOOKUP($A62,'Annex 2 EHV charges'!$D:$O,10,FALSE)=0,"",VLOOKUP($A62,'Annex 2 EHV charges'!$D:$O,10,FALSE)),"")</f>
        <v>1522.03</v>
      </c>
      <c r="G62" s="95">
        <f>IFERROR(IF(VLOOKUP($A62,'Annex 2 EHV charges'!$D:$O,11,FALSE)=0,"",VLOOKUP($A62,'Annex 2 EHV charges'!$D:$O,11,FALSE)),"")</f>
        <v>0.05</v>
      </c>
      <c r="H62" s="95">
        <f>IFERROR(IF(VLOOKUP($A62,'Annex 2 EHV charges'!$D:$O,12,FALSE)=0,"",VLOOKUP($A62,'Annex 2 EHV charges'!$D:$O,12,FALSE)),"")</f>
        <v>0.05</v>
      </c>
    </row>
    <row r="63" spans="1:8" ht="12.75" customHeight="1" x14ac:dyDescent="0.2">
      <c r="A63" s="92" t="str">
        <f t="array" ref="A63">IFERROR(INDEX('Annex 2 EHV charges'!$D$10:$D$259, MATCH(0, IF(ISBLANK('Annex 2 EHV charges'!$D$10:$D$259),1, COUNTIF(A$4:$A62, 'Annex 2 EHV charges'!$D$10:$D$259)), 0)),"")</f>
        <v>THORNE</v>
      </c>
      <c r="B63" s="91">
        <f>IF($A63="","",VLOOKUP($A63,'Annex 2 EHV charges'!$D:$O,2,0))</f>
        <v>750</v>
      </c>
      <c r="C63" s="92">
        <f>IF($A63="","",VLOOKUP($A63,'Annex 2 EHV charges'!$D:$O,3,0))</f>
        <v>1900091171373</v>
      </c>
      <c r="D63" s="91" t="str">
        <f>IF($A63="","",VLOOKUP($A63,'Annex 2 EHV charges'!$D:$O,4,0))</f>
        <v>THORNE</v>
      </c>
      <c r="E63" s="93" t="str">
        <f>IFERROR(IF(VLOOKUP($A63,'Annex 2 EHV charges'!$D:$O,9,FALSE)=0,"",VLOOKUP($A63,'Annex 2 EHV charges'!$D:$O,9,FALSE)),"")</f>
        <v/>
      </c>
      <c r="F63" s="94">
        <f>IFERROR(IF(VLOOKUP($A63,'Annex 2 EHV charges'!$D:$O,10,FALSE)=0,"",VLOOKUP($A63,'Annex 2 EHV charges'!$D:$O,10,FALSE)),"")</f>
        <v>2032.89</v>
      </c>
      <c r="G63" s="95">
        <f>IFERROR(IF(VLOOKUP($A63,'Annex 2 EHV charges'!$D:$O,11,FALSE)=0,"",VLOOKUP($A63,'Annex 2 EHV charges'!$D:$O,11,FALSE)),"")</f>
        <v>0.05</v>
      </c>
      <c r="H63" s="95">
        <f>IFERROR(IF(VLOOKUP($A63,'Annex 2 EHV charges'!$D:$O,12,FALSE)=0,"",VLOOKUP($A63,'Annex 2 EHV charges'!$D:$O,12,FALSE)),"")</f>
        <v>0.05</v>
      </c>
    </row>
    <row r="64" spans="1:8" ht="12.75" customHeight="1" x14ac:dyDescent="0.2">
      <c r="A64" s="92" t="str">
        <f t="array" ref="A64">IFERROR(INDEX('Annex 2 EHV charges'!$D$10:$D$259, MATCH(0, IF(ISBLANK('Annex 2 EHV charges'!$D$10:$D$259),1, COUNTIF(A$4:$A63, 'Annex 2 EHV charges'!$D$10:$D$259)), 0)),"")</f>
        <v>TONGSF</v>
      </c>
      <c r="B64" s="91">
        <f>IF($A64="","",VLOOKUP($A64,'Annex 2 EHV charges'!$D:$O,2,0))</f>
        <v>711</v>
      </c>
      <c r="C64" s="92">
        <f>IF($A64="","",VLOOKUP($A64,'Annex 2 EHV charges'!$D:$O,3,0))</f>
        <v>1900091363019</v>
      </c>
      <c r="D64" s="91" t="str">
        <f>IF($A64="","",VLOOKUP($A64,'Annex 2 EHV charges'!$D:$O,4,0))</f>
        <v>TONGSF</v>
      </c>
      <c r="E64" s="93" t="str">
        <f>IFERROR(IF(VLOOKUP($A64,'Annex 2 EHV charges'!$D:$O,9,FALSE)=0,"",VLOOKUP($A64,'Annex 2 EHV charges'!$D:$O,9,FALSE)),"")</f>
        <v/>
      </c>
      <c r="F64" s="94">
        <f>IFERROR(IF(VLOOKUP($A64,'Annex 2 EHV charges'!$D:$O,10,FALSE)=0,"",VLOOKUP($A64,'Annex 2 EHV charges'!$D:$O,10,FALSE)),"")</f>
        <v>2311.46</v>
      </c>
      <c r="G64" s="95">
        <f>IFERROR(IF(VLOOKUP($A64,'Annex 2 EHV charges'!$D:$O,11,FALSE)=0,"",VLOOKUP($A64,'Annex 2 EHV charges'!$D:$O,11,FALSE)),"")</f>
        <v>0.05</v>
      </c>
      <c r="H64" s="95">
        <f>IFERROR(IF(VLOOKUP($A64,'Annex 2 EHV charges'!$D:$O,12,FALSE)=0,"",VLOOKUP($A64,'Annex 2 EHV charges'!$D:$O,12,FALSE)),"")</f>
        <v>0.05</v>
      </c>
    </row>
    <row r="65" spans="1:8" ht="12.75" customHeight="1" x14ac:dyDescent="0.2">
      <c r="A65" s="92" t="str">
        <f t="array" ref="A65">IFERROR(INDEX('Annex 2 EHV charges'!$D$10:$D$259, MATCH(0, IF(ISBLANK('Annex 2 EHV charges'!$D$10:$D$259),1, COUNTIF(A$4:$A64, 'Annex 2 EHV charges'!$D$10:$D$259)), 0)),"")</f>
        <v>WDLNDS</v>
      </c>
      <c r="B65" s="91">
        <f>IF($A65="","",VLOOKUP($A65,'Annex 2 EHV charges'!$D:$O,2,0))</f>
        <v>702</v>
      </c>
      <c r="C65" s="92">
        <f>IF($A65="","",VLOOKUP($A65,'Annex 2 EHV charges'!$D:$O,3,0))</f>
        <v>1900091207133</v>
      </c>
      <c r="D65" s="91" t="str">
        <f>IF($A65="","",VLOOKUP($A65,'Annex 2 EHV charges'!$D:$O,4,0))</f>
        <v>WDLNDS</v>
      </c>
      <c r="E65" s="93" t="str">
        <f>IFERROR(IF(VLOOKUP($A65,'Annex 2 EHV charges'!$D:$O,9,FALSE)=0,"",VLOOKUP($A65,'Annex 2 EHV charges'!$D:$O,9,FALSE)),"")</f>
        <v/>
      </c>
      <c r="F65" s="94">
        <f>IFERROR(IF(VLOOKUP($A65,'Annex 2 EHV charges'!$D:$O,10,FALSE)=0,"",VLOOKUP($A65,'Annex 2 EHV charges'!$D:$O,10,FALSE)),"")</f>
        <v>2636.51</v>
      </c>
      <c r="G65" s="95">
        <f>IFERROR(IF(VLOOKUP($A65,'Annex 2 EHV charges'!$D:$O,11,FALSE)=0,"",VLOOKUP($A65,'Annex 2 EHV charges'!$D:$O,11,FALSE)),"")</f>
        <v>0.05</v>
      </c>
      <c r="H65" s="95">
        <f>IFERROR(IF(VLOOKUP($A65,'Annex 2 EHV charges'!$D:$O,12,FALSE)=0,"",VLOOKUP($A65,'Annex 2 EHV charges'!$D:$O,12,FALSE)),"")</f>
        <v>0.05</v>
      </c>
    </row>
    <row r="66" spans="1:8" ht="12.75" customHeight="1" x14ac:dyDescent="0.2">
      <c r="A66" s="92" t="str">
        <f t="array" ref="A66">IFERROR(INDEX('Annex 2 EHV charges'!$D$10:$D$259, MATCH(0, IF(ISBLANK('Annex 2 EHV charges'!$D$10:$D$259),1, COUNTIF(A$4:$A65, 'Annex 2 EHV charges'!$D$10:$D$259)), 0)),"")</f>
        <v>WIDHFM</v>
      </c>
      <c r="B66" s="91">
        <f>IF($A66="","",VLOOKUP($A66,'Annex 2 EHV charges'!$D:$O,2,0))</f>
        <v>714</v>
      </c>
      <c r="C66" s="92">
        <f>IF($A66="","",VLOOKUP($A66,'Annex 2 EHV charges'!$D:$O,3,0))</f>
        <v>1900091478509</v>
      </c>
      <c r="D66" s="91" t="str">
        <f>IF($A66="","",VLOOKUP($A66,'Annex 2 EHV charges'!$D:$O,4,0))</f>
        <v>WIDHFM</v>
      </c>
      <c r="E66" s="93" t="str">
        <f>IFERROR(IF(VLOOKUP($A66,'Annex 2 EHV charges'!$D:$O,9,FALSE)=0,"",VLOOKUP($A66,'Annex 2 EHV charges'!$D:$O,9,FALSE)),"")</f>
        <v/>
      </c>
      <c r="F66" s="94">
        <f>IFERROR(IF(VLOOKUP($A66,'Annex 2 EHV charges'!$D:$O,10,FALSE)=0,"",VLOOKUP($A66,'Annex 2 EHV charges'!$D:$O,10,FALSE)),"")</f>
        <v>1372.13</v>
      </c>
      <c r="G66" s="95">
        <f>IFERROR(IF(VLOOKUP($A66,'Annex 2 EHV charges'!$D:$O,11,FALSE)=0,"",VLOOKUP($A66,'Annex 2 EHV charges'!$D:$O,11,FALSE)),"")</f>
        <v>0.05</v>
      </c>
      <c r="H66" s="95">
        <f>IFERROR(IF(VLOOKUP($A66,'Annex 2 EHV charges'!$D:$O,12,FALSE)=0,"",VLOOKUP($A66,'Annex 2 EHV charges'!$D:$O,12,FALSE)),"")</f>
        <v>0.05</v>
      </c>
    </row>
    <row r="67" spans="1:8" ht="12.75" customHeight="1" x14ac:dyDescent="0.2">
      <c r="A67" s="92" t="str">
        <f t="array" ref="A67">IFERROR(INDEX('Annex 2 EHV charges'!$D$10:$D$259, MATCH(0, IF(ISBLANK('Annex 2 EHV charges'!$D$10:$D$259),1, COUNTIF(A$4:$A66, 'Annex 2 EHV charges'!$D$10:$D$259)), 0)),"")</f>
        <v>WLBEES</v>
      </c>
      <c r="B67" s="91">
        <f>IF($A67="","",VLOOKUP($A67,'Annex 2 EHV charges'!$D:$O,2,0))</f>
        <v>715</v>
      </c>
      <c r="C67" s="92">
        <f>IF($A67="","",VLOOKUP($A67,'Annex 2 EHV charges'!$D:$O,3,0))</f>
        <v>1900091315229</v>
      </c>
      <c r="D67" s="91" t="str">
        <f>IF($A67="","",VLOOKUP($A67,'Annex 2 EHV charges'!$D:$O,4,0))</f>
        <v>WLBEES</v>
      </c>
      <c r="E67" s="93" t="str">
        <f>IFERROR(IF(VLOOKUP($A67,'Annex 2 EHV charges'!$D:$O,9,FALSE)=0,"",VLOOKUP($A67,'Annex 2 EHV charges'!$D:$O,9,FALSE)),"")</f>
        <v/>
      </c>
      <c r="F67" s="94">
        <f>IFERROR(IF(VLOOKUP($A67,'Annex 2 EHV charges'!$D:$O,10,FALSE)=0,"",VLOOKUP($A67,'Annex 2 EHV charges'!$D:$O,10,FALSE)),"")</f>
        <v>310.77</v>
      </c>
      <c r="G67" s="95">
        <f>IFERROR(IF(VLOOKUP($A67,'Annex 2 EHV charges'!$D:$O,11,FALSE)=0,"",VLOOKUP($A67,'Annex 2 EHV charges'!$D:$O,11,FALSE)),"")</f>
        <v>0.05</v>
      </c>
      <c r="H67" s="95">
        <f>IFERROR(IF(VLOOKUP($A67,'Annex 2 EHV charges'!$D:$O,12,FALSE)=0,"",VLOOKUP($A67,'Annex 2 EHV charges'!$D:$O,12,FALSE)),"")</f>
        <v>0.05</v>
      </c>
    </row>
    <row r="68" spans="1:8" ht="12.75" customHeight="1" x14ac:dyDescent="0.2">
      <c r="A68" s="92" t="str">
        <f t="array" ref="A68">IFERROR(INDEX('Annex 2 EHV charges'!$D$10:$D$259, MATCH(0, IF(ISBLANK('Annex 2 EHV charges'!$D$10:$D$259),1, COUNTIF(A$4:$A67, 'Annex 2 EHV charges'!$D$10:$D$259)), 0)),"")</f>
        <v>WRGALL</v>
      </c>
      <c r="B68" s="91">
        <f>IF($A68="","",VLOOKUP($A68,'Annex 2 EHV charges'!$D:$O,2,0))</f>
        <v>731</v>
      </c>
      <c r="C68" s="92">
        <f>IF($A68="","",VLOOKUP($A68,'Annex 2 EHV charges'!$D:$O,3,0))</f>
        <v>1900070394466</v>
      </c>
      <c r="D68" s="91" t="str">
        <f>IF($A68="","",VLOOKUP($A68,'Annex 2 EHV charges'!$D:$O,4,0))</f>
        <v>WRGALL</v>
      </c>
      <c r="E68" s="93" t="str">
        <f>IFERROR(IF(VLOOKUP($A68,'Annex 2 EHV charges'!$D:$O,9,FALSE)=0,"",VLOOKUP($A68,'Annex 2 EHV charges'!$D:$O,9,FALSE)),"")</f>
        <v/>
      </c>
      <c r="F68" s="94" t="str">
        <f>IFERROR(IF(VLOOKUP($A68,'Annex 2 EHV charges'!$D:$O,10,FALSE)=0,"",VLOOKUP($A68,'Annex 2 EHV charges'!$D:$O,10,FALSE)),"")</f>
        <v/>
      </c>
      <c r="G68" s="95" t="str">
        <f>IFERROR(IF(VLOOKUP($A68,'Annex 2 EHV charges'!$D:$O,11,FALSE)=0,"",VLOOKUP($A68,'Annex 2 EHV charges'!$D:$O,11,FALSE)),"")</f>
        <v/>
      </c>
      <c r="H68" s="95" t="str">
        <f>IFERROR(IF(VLOOKUP($A68,'Annex 2 EHV charges'!$D:$O,12,FALSE)=0,"",VLOOKUP($A68,'Annex 2 EHV charges'!$D:$O,12,FALSE)),"")</f>
        <v/>
      </c>
    </row>
    <row r="69" spans="1:8" ht="12.75" customHeight="1" x14ac:dyDescent="0.2">
      <c r="A69" s="92" t="str">
        <f t="array" ref="A69">IFERROR(INDEX('Annex 2 EHV charges'!$D$10:$D$259, MATCH(0, IF(ISBLANK('Annex 2 EHV charges'!$D$10:$D$259),1, COUNTIF(A$4:$A68, 'Annex 2 EHV charges'!$D$10:$D$259)), 0)),"")</f>
        <v>WSTWDX</v>
      </c>
      <c r="B69" s="91">
        <f>IF($A69="","",VLOOKUP($A69,'Annex 2 EHV charges'!$D:$O,2,0))</f>
        <v>740</v>
      </c>
      <c r="C69" s="92">
        <f>IF($A69="","",VLOOKUP($A69,'Annex 2 EHV charges'!$D:$O,3,0))</f>
        <v>1900091086540</v>
      </c>
      <c r="D69" s="91" t="str">
        <f>IF($A69="","",VLOOKUP($A69,'Annex 2 EHV charges'!$D:$O,4,0))</f>
        <v>WSTWDX</v>
      </c>
      <c r="E69" s="93" t="str">
        <f>IFERROR(IF(VLOOKUP($A69,'Annex 2 EHV charges'!$D:$O,9,FALSE)=0,"",VLOOKUP($A69,'Annex 2 EHV charges'!$D:$O,9,FALSE)),"")</f>
        <v/>
      </c>
      <c r="F69" s="94">
        <f>IFERROR(IF(VLOOKUP($A69,'Annex 2 EHV charges'!$D:$O,10,FALSE)=0,"",VLOOKUP($A69,'Annex 2 EHV charges'!$D:$O,10,FALSE)),"")</f>
        <v>1281.28</v>
      </c>
      <c r="G69" s="95">
        <f>IFERROR(IF(VLOOKUP($A69,'Annex 2 EHV charges'!$D:$O,11,FALSE)=0,"",VLOOKUP($A69,'Annex 2 EHV charges'!$D:$O,11,FALSE)),"")</f>
        <v>0.05</v>
      </c>
      <c r="H69" s="95">
        <f>IFERROR(IF(VLOOKUP($A69,'Annex 2 EHV charges'!$D:$O,12,FALSE)=0,"",VLOOKUP($A69,'Annex 2 EHV charges'!$D:$O,12,FALSE)),"")</f>
        <v>0.05</v>
      </c>
    </row>
    <row r="70" spans="1:8" ht="12.75" customHeight="1" x14ac:dyDescent="0.2">
      <c r="A70" s="92" t="str">
        <f t="array" ref="A70">IFERROR(INDEX('Annex 2 EHV charges'!$D$10:$D$259, MATCH(0, IF(ISBLANK('Annex 2 EHV charges'!$D$10:$D$259),1, COUNTIF(A$4:$A69, 'Annex 2 EHV charges'!$D$10:$D$259)), 0)),"")</f>
        <v/>
      </c>
      <c r="B70" s="91" t="str">
        <f>IF($A70="","",VLOOKUP($A70,'Annex 2 EHV charges'!$D:$O,2,0))</f>
        <v/>
      </c>
      <c r="C70" s="92" t="str">
        <f>IF($A70="","",VLOOKUP($A70,'Annex 2 EHV charges'!$D:$O,3,0))</f>
        <v/>
      </c>
      <c r="D70" s="91" t="str">
        <f>IF($A70="","",VLOOKUP($A70,'Annex 2 EHV charges'!$D:$O,4,0))</f>
        <v/>
      </c>
      <c r="E70" s="93" t="str">
        <f>IFERROR(IF(VLOOKUP($A70,'Annex 2 EHV charges'!$D:$O,9,FALSE)=0,"",VLOOKUP($A70,'Annex 2 EHV charges'!$D:$O,9,FALSE)),"")</f>
        <v/>
      </c>
      <c r="F70" s="94" t="str">
        <f>IFERROR(IF(VLOOKUP($A70,'Annex 2 EHV charges'!$D:$O,10,FALSE)=0,"",VLOOKUP($A70,'Annex 2 EHV charges'!$D:$O,10,FALSE)),"")</f>
        <v/>
      </c>
      <c r="G70" s="95" t="str">
        <f>IFERROR(IF(VLOOKUP($A70,'Annex 2 EHV charges'!$D:$O,11,FALSE)=0,"",VLOOKUP($A70,'Annex 2 EHV charges'!$D:$O,11,FALSE)),"")</f>
        <v/>
      </c>
      <c r="H70" s="95" t="str">
        <f>IFERROR(IF(VLOOKUP($A70,'Annex 2 EHV charges'!$D:$O,12,FALSE)=0,"",VLOOKUP($A70,'Annex 2 EHV charges'!$D:$O,12,FALSE)),"")</f>
        <v/>
      </c>
    </row>
    <row r="71" spans="1:8" ht="12.75" customHeight="1" x14ac:dyDescent="0.2">
      <c r="A71" s="92" t="str">
        <f t="array" ref="A71">IFERROR(INDEX('Annex 2 EHV charges'!$D$10:$D$259, MATCH(0, IF(ISBLANK('Annex 2 EHV charges'!$D$10:$D$259),1, COUNTIF(A$4:$A70, 'Annex 2 EHV charges'!$D$10:$D$259)), 0)),"")</f>
        <v/>
      </c>
      <c r="B71" s="91" t="str">
        <f>IF($A71="","",VLOOKUP($A71,'Annex 2 EHV charges'!$D:$O,2,0))</f>
        <v/>
      </c>
      <c r="C71" s="92" t="str">
        <f>IF($A71="","",VLOOKUP($A71,'Annex 2 EHV charges'!$D:$O,3,0))</f>
        <v/>
      </c>
      <c r="D71" s="91" t="str">
        <f>IF($A71="","",VLOOKUP($A71,'Annex 2 EHV charges'!$D:$O,4,0))</f>
        <v/>
      </c>
      <c r="E71" s="93" t="str">
        <f>IFERROR(IF(VLOOKUP($A71,'Annex 2 EHV charges'!$D:$O,9,FALSE)=0,"",VLOOKUP($A71,'Annex 2 EHV charges'!$D:$O,9,FALSE)),"")</f>
        <v/>
      </c>
      <c r="F71" s="94" t="str">
        <f>IFERROR(IF(VLOOKUP($A71,'Annex 2 EHV charges'!$D:$O,10,FALSE)=0,"",VLOOKUP($A71,'Annex 2 EHV charges'!$D:$O,10,FALSE)),"")</f>
        <v/>
      </c>
      <c r="G71" s="95" t="str">
        <f>IFERROR(IF(VLOOKUP($A71,'Annex 2 EHV charges'!$D:$O,11,FALSE)=0,"",VLOOKUP($A71,'Annex 2 EHV charges'!$D:$O,11,FALSE)),"")</f>
        <v/>
      </c>
      <c r="H71" s="95" t="str">
        <f>IFERROR(IF(VLOOKUP($A71,'Annex 2 EHV charges'!$D:$O,12,FALSE)=0,"",VLOOKUP($A71,'Annex 2 EHV charges'!$D:$O,12,FALSE)),"")</f>
        <v/>
      </c>
    </row>
    <row r="72" spans="1:8" ht="12.75" customHeight="1" x14ac:dyDescent="0.2">
      <c r="A72" s="92" t="str">
        <f t="array" ref="A72">IFERROR(INDEX('Annex 2 EHV charges'!$D$10:$D$259, MATCH(0, IF(ISBLANK('Annex 2 EHV charges'!$D$10:$D$259),1, COUNTIF(A$4:$A71, 'Annex 2 EHV charges'!$D$10:$D$259)), 0)),"")</f>
        <v/>
      </c>
      <c r="B72" s="91" t="str">
        <f>IF($A72="","",VLOOKUP($A72,'Annex 2 EHV charges'!$D:$O,2,0))</f>
        <v/>
      </c>
      <c r="C72" s="92" t="str">
        <f>IF($A72="","",VLOOKUP($A72,'Annex 2 EHV charges'!$D:$O,3,0))</f>
        <v/>
      </c>
      <c r="D72" s="91" t="str">
        <f>IF($A72="","",VLOOKUP($A72,'Annex 2 EHV charges'!$D:$O,4,0))</f>
        <v/>
      </c>
      <c r="E72" s="93" t="str">
        <f>IFERROR(IF(VLOOKUP($A72,'Annex 2 EHV charges'!$D:$O,9,FALSE)=0,"",VLOOKUP($A72,'Annex 2 EHV charges'!$D:$O,9,FALSE)),"")</f>
        <v/>
      </c>
      <c r="F72" s="94" t="str">
        <f>IFERROR(IF(VLOOKUP($A72,'Annex 2 EHV charges'!$D:$O,10,FALSE)=0,"",VLOOKUP($A72,'Annex 2 EHV charges'!$D:$O,10,FALSE)),"")</f>
        <v/>
      </c>
      <c r="G72" s="95" t="str">
        <f>IFERROR(IF(VLOOKUP($A72,'Annex 2 EHV charges'!$D:$O,11,FALSE)=0,"",VLOOKUP($A72,'Annex 2 EHV charges'!$D:$O,11,FALSE)),"")</f>
        <v/>
      </c>
      <c r="H72" s="95" t="str">
        <f>IFERROR(IF(VLOOKUP($A72,'Annex 2 EHV charges'!$D:$O,12,FALSE)=0,"",VLOOKUP($A72,'Annex 2 EHV charges'!$D:$O,12,FALSE)),"")</f>
        <v/>
      </c>
    </row>
    <row r="73" spans="1:8" ht="12.75" customHeight="1" x14ac:dyDescent="0.2">
      <c r="A73" s="92" t="str">
        <f t="array" ref="A73">IFERROR(INDEX('Annex 2 EHV charges'!$D$10:$D$259, MATCH(0, IF(ISBLANK('Annex 2 EHV charges'!$D$10:$D$259),1, COUNTIF(A$4:$A72, 'Annex 2 EHV charges'!$D$10:$D$259)), 0)),"")</f>
        <v/>
      </c>
      <c r="B73" s="91" t="str">
        <f>IF($A73="","",VLOOKUP($A73,'Annex 2 EHV charges'!$D:$O,2,0))</f>
        <v/>
      </c>
      <c r="C73" s="92" t="str">
        <f>IF($A73="","",VLOOKUP($A73,'Annex 2 EHV charges'!$D:$O,3,0))</f>
        <v/>
      </c>
      <c r="D73" s="91" t="str">
        <f>IF($A73="","",VLOOKUP($A73,'Annex 2 EHV charges'!$D:$O,4,0))</f>
        <v/>
      </c>
      <c r="E73" s="93" t="str">
        <f>IFERROR(IF(VLOOKUP($A73,'Annex 2 EHV charges'!$D:$O,9,FALSE)=0,"",VLOOKUP($A73,'Annex 2 EHV charges'!$D:$O,9,FALSE)),"")</f>
        <v/>
      </c>
      <c r="F73" s="94" t="str">
        <f>IFERROR(IF(VLOOKUP($A73,'Annex 2 EHV charges'!$D:$O,10,FALSE)=0,"",VLOOKUP($A73,'Annex 2 EHV charges'!$D:$O,10,FALSE)),"")</f>
        <v/>
      </c>
      <c r="G73" s="95" t="str">
        <f>IFERROR(IF(VLOOKUP($A73,'Annex 2 EHV charges'!$D:$O,11,FALSE)=0,"",VLOOKUP($A73,'Annex 2 EHV charges'!$D:$O,11,FALSE)),"")</f>
        <v/>
      </c>
      <c r="H73" s="95" t="str">
        <f>IFERROR(IF(VLOOKUP($A73,'Annex 2 EHV charges'!$D:$O,12,FALSE)=0,"",VLOOKUP($A73,'Annex 2 EHV charges'!$D:$O,12,FALSE)),"")</f>
        <v/>
      </c>
    </row>
    <row r="74" spans="1:8" ht="12.75" customHeight="1" x14ac:dyDescent="0.2">
      <c r="A74" s="92" t="str">
        <f t="array" ref="A74">IFERROR(INDEX('Annex 2 EHV charges'!$D$10:$D$259, MATCH(0, IF(ISBLANK('Annex 2 EHV charges'!$D$10:$D$259),1, COUNTIF(A$4:$A73, 'Annex 2 EHV charges'!$D$10:$D$259)), 0)),"")</f>
        <v/>
      </c>
      <c r="B74" s="91" t="str">
        <f>IF($A74="","",VLOOKUP($A74,'Annex 2 EHV charges'!$D:$O,2,0))</f>
        <v/>
      </c>
      <c r="C74" s="92" t="str">
        <f>IF($A74="","",VLOOKUP($A74,'Annex 2 EHV charges'!$D:$O,3,0))</f>
        <v/>
      </c>
      <c r="D74" s="91" t="str">
        <f>IF($A74="","",VLOOKUP($A74,'Annex 2 EHV charges'!$D:$O,4,0))</f>
        <v/>
      </c>
      <c r="E74" s="93" t="str">
        <f>IFERROR(IF(VLOOKUP($A74,'Annex 2 EHV charges'!$D:$O,9,FALSE)=0,"",VLOOKUP($A74,'Annex 2 EHV charges'!$D:$O,9,FALSE)),"")</f>
        <v/>
      </c>
      <c r="F74" s="94" t="str">
        <f>IFERROR(IF(VLOOKUP($A74,'Annex 2 EHV charges'!$D:$O,10,FALSE)=0,"",VLOOKUP($A74,'Annex 2 EHV charges'!$D:$O,10,FALSE)),"")</f>
        <v/>
      </c>
      <c r="G74" s="95" t="str">
        <f>IFERROR(IF(VLOOKUP($A74,'Annex 2 EHV charges'!$D:$O,11,FALSE)=0,"",VLOOKUP($A74,'Annex 2 EHV charges'!$D:$O,11,FALSE)),"")</f>
        <v/>
      </c>
      <c r="H74" s="95" t="str">
        <f>IFERROR(IF(VLOOKUP($A74,'Annex 2 EHV charges'!$D:$O,12,FALSE)=0,"",VLOOKUP($A74,'Annex 2 EHV charges'!$D:$O,12,FALSE)),"")</f>
        <v/>
      </c>
    </row>
    <row r="75" spans="1:8" ht="12.75" customHeight="1" x14ac:dyDescent="0.2">
      <c r="A75" s="92" t="str">
        <f t="array" ref="A75">IFERROR(INDEX('Annex 2 EHV charges'!$D$10:$D$259, MATCH(0, IF(ISBLANK('Annex 2 EHV charges'!$D$10:$D$259),1, COUNTIF(A$4:$A74, 'Annex 2 EHV charges'!$D$10:$D$259)), 0)),"")</f>
        <v/>
      </c>
      <c r="B75" s="91" t="str">
        <f>IF($A75="","",VLOOKUP($A75,'Annex 2 EHV charges'!$D:$O,2,0))</f>
        <v/>
      </c>
      <c r="C75" s="92" t="str">
        <f>IF($A75="","",VLOOKUP($A75,'Annex 2 EHV charges'!$D:$O,3,0))</f>
        <v/>
      </c>
      <c r="D75" s="91" t="str">
        <f>IF($A75="","",VLOOKUP($A75,'Annex 2 EHV charges'!$D:$O,4,0))</f>
        <v/>
      </c>
      <c r="E75" s="93" t="str">
        <f>IFERROR(IF(VLOOKUP($A75,'Annex 2 EHV charges'!$D:$O,9,FALSE)=0,"",VLOOKUP($A75,'Annex 2 EHV charges'!$D:$O,9,FALSE)),"")</f>
        <v/>
      </c>
      <c r="F75" s="94" t="str">
        <f>IFERROR(IF(VLOOKUP($A75,'Annex 2 EHV charges'!$D:$O,10,FALSE)=0,"",VLOOKUP($A75,'Annex 2 EHV charges'!$D:$O,10,FALSE)),"")</f>
        <v/>
      </c>
      <c r="G75" s="95" t="str">
        <f>IFERROR(IF(VLOOKUP($A75,'Annex 2 EHV charges'!$D:$O,11,FALSE)=0,"",VLOOKUP($A75,'Annex 2 EHV charges'!$D:$O,11,FALSE)),"")</f>
        <v/>
      </c>
      <c r="H75" s="95" t="str">
        <f>IFERROR(IF(VLOOKUP($A75,'Annex 2 EHV charges'!$D:$O,12,FALSE)=0,"",VLOOKUP($A75,'Annex 2 EHV charges'!$D:$O,12,FALSE)),"")</f>
        <v/>
      </c>
    </row>
    <row r="76" spans="1:8" ht="12.75" customHeight="1" x14ac:dyDescent="0.2">
      <c r="A76" s="92" t="str">
        <f t="array" ref="A76">IFERROR(INDEX('Annex 2 EHV charges'!$D$10:$D$259, MATCH(0, IF(ISBLANK('Annex 2 EHV charges'!$D$10:$D$259),1, COUNTIF(A$4:$A75, 'Annex 2 EHV charges'!$D$10:$D$259)), 0)),"")</f>
        <v/>
      </c>
      <c r="B76" s="91" t="str">
        <f>IF($A76="","",VLOOKUP($A76,'Annex 2 EHV charges'!$D:$O,2,0))</f>
        <v/>
      </c>
      <c r="C76" s="92" t="str">
        <f>IF($A76="","",VLOOKUP($A76,'Annex 2 EHV charges'!$D:$O,3,0))</f>
        <v/>
      </c>
      <c r="D76" s="91" t="str">
        <f>IF($A76="","",VLOOKUP($A76,'Annex 2 EHV charges'!$D:$O,4,0))</f>
        <v/>
      </c>
      <c r="E76" s="93" t="str">
        <f>IFERROR(IF(VLOOKUP($A76,'Annex 2 EHV charges'!$D:$O,9,FALSE)=0,"",VLOOKUP($A76,'Annex 2 EHV charges'!$D:$O,9,FALSE)),"")</f>
        <v/>
      </c>
      <c r="F76" s="94" t="str">
        <f>IFERROR(IF(VLOOKUP($A76,'Annex 2 EHV charges'!$D:$O,10,FALSE)=0,"",VLOOKUP($A76,'Annex 2 EHV charges'!$D:$O,10,FALSE)),"")</f>
        <v/>
      </c>
      <c r="G76" s="95" t="str">
        <f>IFERROR(IF(VLOOKUP($A76,'Annex 2 EHV charges'!$D:$O,11,FALSE)=0,"",VLOOKUP($A76,'Annex 2 EHV charges'!$D:$O,11,FALSE)),"")</f>
        <v/>
      </c>
      <c r="H76" s="95" t="str">
        <f>IFERROR(IF(VLOOKUP($A76,'Annex 2 EHV charges'!$D:$O,12,FALSE)=0,"",VLOOKUP($A76,'Annex 2 EHV charges'!$D:$O,12,FALSE)),"")</f>
        <v/>
      </c>
    </row>
    <row r="77" spans="1:8" ht="12.75" customHeight="1" x14ac:dyDescent="0.2">
      <c r="A77" s="92" t="str">
        <f t="array" ref="A77">IFERROR(INDEX('Annex 2 EHV charges'!$D$10:$D$259, MATCH(0, IF(ISBLANK('Annex 2 EHV charges'!$D$10:$D$259),1, COUNTIF(A$4:$A76, 'Annex 2 EHV charges'!$D$10:$D$259)), 0)),"")</f>
        <v/>
      </c>
      <c r="B77" s="91" t="str">
        <f>IF($A77="","",VLOOKUP($A77,'Annex 2 EHV charges'!$D:$O,2,0))</f>
        <v/>
      </c>
      <c r="C77" s="92" t="str">
        <f>IF($A77="","",VLOOKUP($A77,'Annex 2 EHV charges'!$D:$O,3,0))</f>
        <v/>
      </c>
      <c r="D77" s="91" t="str">
        <f>IF($A77="","",VLOOKUP($A77,'Annex 2 EHV charges'!$D:$O,4,0))</f>
        <v/>
      </c>
      <c r="E77" s="93" t="str">
        <f>IFERROR(IF(VLOOKUP($A77,'Annex 2 EHV charges'!$D:$O,9,FALSE)=0,"",VLOOKUP($A77,'Annex 2 EHV charges'!$D:$O,9,FALSE)),"")</f>
        <v/>
      </c>
      <c r="F77" s="94" t="str">
        <f>IFERROR(IF(VLOOKUP($A77,'Annex 2 EHV charges'!$D:$O,10,FALSE)=0,"",VLOOKUP($A77,'Annex 2 EHV charges'!$D:$O,10,FALSE)),"")</f>
        <v/>
      </c>
      <c r="G77" s="95" t="str">
        <f>IFERROR(IF(VLOOKUP($A77,'Annex 2 EHV charges'!$D:$O,11,FALSE)=0,"",VLOOKUP($A77,'Annex 2 EHV charges'!$D:$O,11,FALSE)),"")</f>
        <v/>
      </c>
      <c r="H77" s="95" t="str">
        <f>IFERROR(IF(VLOOKUP($A77,'Annex 2 EHV charges'!$D:$O,12,FALSE)=0,"",VLOOKUP($A77,'Annex 2 EHV charges'!$D:$O,12,FALSE)),"")</f>
        <v/>
      </c>
    </row>
    <row r="78" spans="1:8" ht="12.75" customHeight="1" x14ac:dyDescent="0.2">
      <c r="A78" s="92" t="str">
        <f t="array" ref="A78">IFERROR(INDEX('Annex 2 EHV charges'!$D$10:$D$259, MATCH(0, IF(ISBLANK('Annex 2 EHV charges'!$D$10:$D$259),1, COUNTIF(A$4:$A77, 'Annex 2 EHV charges'!$D$10:$D$259)), 0)),"")</f>
        <v/>
      </c>
      <c r="B78" s="91" t="str">
        <f>IF($A78="","",VLOOKUP($A78,'Annex 2 EHV charges'!$D:$O,2,0))</f>
        <v/>
      </c>
      <c r="C78" s="92" t="str">
        <f>IF($A78="","",VLOOKUP($A78,'Annex 2 EHV charges'!$D:$O,3,0))</f>
        <v/>
      </c>
      <c r="D78" s="91" t="str">
        <f>IF($A78="","",VLOOKUP($A78,'Annex 2 EHV charges'!$D:$O,4,0))</f>
        <v/>
      </c>
      <c r="E78" s="93" t="str">
        <f>IFERROR(IF(VLOOKUP($A78,'Annex 2 EHV charges'!$D:$O,9,FALSE)=0,"",VLOOKUP($A78,'Annex 2 EHV charges'!$D:$O,9,FALSE)),"")</f>
        <v/>
      </c>
      <c r="F78" s="94" t="str">
        <f>IFERROR(IF(VLOOKUP($A78,'Annex 2 EHV charges'!$D:$O,10,FALSE)=0,"",VLOOKUP($A78,'Annex 2 EHV charges'!$D:$O,10,FALSE)),"")</f>
        <v/>
      </c>
      <c r="G78" s="95" t="str">
        <f>IFERROR(IF(VLOOKUP($A78,'Annex 2 EHV charges'!$D:$O,11,FALSE)=0,"",VLOOKUP($A78,'Annex 2 EHV charges'!$D:$O,11,FALSE)),"")</f>
        <v/>
      </c>
      <c r="H78" s="95" t="str">
        <f>IFERROR(IF(VLOOKUP($A78,'Annex 2 EHV charges'!$D:$O,12,FALSE)=0,"",VLOOKUP($A78,'Annex 2 EHV charges'!$D:$O,12,FALSE)),"")</f>
        <v/>
      </c>
    </row>
    <row r="79" spans="1:8" ht="12.75" customHeight="1" x14ac:dyDescent="0.2">
      <c r="A79" s="92" t="str">
        <f t="array" ref="A79">IFERROR(INDEX('Annex 2 EHV charges'!$D$10:$D$259, MATCH(0, IF(ISBLANK('Annex 2 EHV charges'!$D$10:$D$259),1, COUNTIF(A$4:$A78, 'Annex 2 EHV charges'!$D$10:$D$259)), 0)),"")</f>
        <v/>
      </c>
      <c r="B79" s="91" t="str">
        <f>IF($A79="","",VLOOKUP($A79,'Annex 2 EHV charges'!$D:$O,2,0))</f>
        <v/>
      </c>
      <c r="C79" s="92" t="str">
        <f>IF($A79="","",VLOOKUP($A79,'Annex 2 EHV charges'!$D:$O,3,0))</f>
        <v/>
      </c>
      <c r="D79" s="91" t="str">
        <f>IF($A79="","",VLOOKUP($A79,'Annex 2 EHV charges'!$D:$O,4,0))</f>
        <v/>
      </c>
      <c r="E79" s="93" t="str">
        <f>IFERROR(IF(VLOOKUP($A79,'Annex 2 EHV charges'!$D:$O,9,FALSE)=0,"",VLOOKUP($A79,'Annex 2 EHV charges'!$D:$O,9,FALSE)),"")</f>
        <v/>
      </c>
      <c r="F79" s="94" t="str">
        <f>IFERROR(IF(VLOOKUP($A79,'Annex 2 EHV charges'!$D:$O,10,FALSE)=0,"",VLOOKUP($A79,'Annex 2 EHV charges'!$D:$O,10,FALSE)),"")</f>
        <v/>
      </c>
      <c r="G79" s="95" t="str">
        <f>IFERROR(IF(VLOOKUP($A79,'Annex 2 EHV charges'!$D:$O,11,FALSE)=0,"",VLOOKUP($A79,'Annex 2 EHV charges'!$D:$O,11,FALSE)),"")</f>
        <v/>
      </c>
      <c r="H79" s="95" t="str">
        <f>IFERROR(IF(VLOOKUP($A79,'Annex 2 EHV charges'!$D:$O,12,FALSE)=0,"",VLOOKUP($A79,'Annex 2 EHV charges'!$D:$O,12,FALSE)),"")</f>
        <v/>
      </c>
    </row>
    <row r="80" spans="1:8" ht="12.75" customHeight="1" x14ac:dyDescent="0.2">
      <c r="A80" s="92" t="str">
        <f t="array" ref="A80">IFERROR(INDEX('Annex 2 EHV charges'!$D$10:$D$259, MATCH(0, IF(ISBLANK('Annex 2 EHV charges'!$D$10:$D$259),1, COUNTIF(A$4:$A79, 'Annex 2 EHV charges'!$D$10:$D$259)), 0)),"")</f>
        <v/>
      </c>
      <c r="B80" s="91" t="str">
        <f>IF($A80="","",VLOOKUP($A80,'Annex 2 EHV charges'!$D:$O,2,0))</f>
        <v/>
      </c>
      <c r="C80" s="92" t="str">
        <f>IF($A80="","",VLOOKUP($A80,'Annex 2 EHV charges'!$D:$O,3,0))</f>
        <v/>
      </c>
      <c r="D80" s="91" t="str">
        <f>IF($A80="","",VLOOKUP($A80,'Annex 2 EHV charges'!$D:$O,4,0))</f>
        <v/>
      </c>
      <c r="E80" s="93" t="str">
        <f>IFERROR(IF(VLOOKUP($A80,'Annex 2 EHV charges'!$D:$O,9,FALSE)=0,"",VLOOKUP($A80,'Annex 2 EHV charges'!$D:$O,9,FALSE)),"")</f>
        <v/>
      </c>
      <c r="F80" s="94" t="str">
        <f>IFERROR(IF(VLOOKUP($A80,'Annex 2 EHV charges'!$D:$O,10,FALSE)=0,"",VLOOKUP($A80,'Annex 2 EHV charges'!$D:$O,10,FALSE)),"")</f>
        <v/>
      </c>
      <c r="G80" s="95" t="str">
        <f>IFERROR(IF(VLOOKUP($A80,'Annex 2 EHV charges'!$D:$O,11,FALSE)=0,"",VLOOKUP($A80,'Annex 2 EHV charges'!$D:$O,11,FALSE)),"")</f>
        <v/>
      </c>
      <c r="H80" s="95" t="str">
        <f>IFERROR(IF(VLOOKUP($A80,'Annex 2 EHV charges'!$D:$O,12,FALSE)=0,"",VLOOKUP($A80,'Annex 2 EHV charges'!$D:$O,12,FALSE)),"")</f>
        <v/>
      </c>
    </row>
    <row r="81" spans="1:8" ht="12.75" customHeight="1" x14ac:dyDescent="0.2">
      <c r="A81" s="92" t="str">
        <f t="array" ref="A81">IFERROR(INDEX('Annex 2 EHV charges'!$D$10:$D$259, MATCH(0, IF(ISBLANK('Annex 2 EHV charges'!$D$10:$D$259),1, COUNTIF(A$4:$A80, 'Annex 2 EHV charges'!$D$10:$D$259)), 0)),"")</f>
        <v/>
      </c>
      <c r="B81" s="91" t="str">
        <f>IF($A81="","",VLOOKUP($A81,'Annex 2 EHV charges'!$D:$O,2,0))</f>
        <v/>
      </c>
      <c r="C81" s="92" t="str">
        <f>IF($A81="","",VLOOKUP($A81,'Annex 2 EHV charges'!$D:$O,3,0))</f>
        <v/>
      </c>
      <c r="D81" s="91" t="str">
        <f>IF($A81="","",VLOOKUP($A81,'Annex 2 EHV charges'!$D:$O,4,0))</f>
        <v/>
      </c>
      <c r="E81" s="93" t="str">
        <f>IFERROR(IF(VLOOKUP($A81,'Annex 2 EHV charges'!$D:$O,9,FALSE)=0,"",VLOOKUP($A81,'Annex 2 EHV charges'!$D:$O,9,FALSE)),"")</f>
        <v/>
      </c>
      <c r="F81" s="94" t="str">
        <f>IFERROR(IF(VLOOKUP($A81,'Annex 2 EHV charges'!$D:$O,10,FALSE)=0,"",VLOOKUP($A81,'Annex 2 EHV charges'!$D:$O,10,FALSE)),"")</f>
        <v/>
      </c>
      <c r="G81" s="95" t="str">
        <f>IFERROR(IF(VLOOKUP($A81,'Annex 2 EHV charges'!$D:$O,11,FALSE)=0,"",VLOOKUP($A81,'Annex 2 EHV charges'!$D:$O,11,FALSE)),"")</f>
        <v/>
      </c>
      <c r="H81" s="95" t="str">
        <f>IFERROR(IF(VLOOKUP($A81,'Annex 2 EHV charges'!$D:$O,12,FALSE)=0,"",VLOOKUP($A81,'Annex 2 EHV charges'!$D:$O,12,FALSE)),"")</f>
        <v/>
      </c>
    </row>
    <row r="82" spans="1:8" ht="12.75" customHeight="1" x14ac:dyDescent="0.2">
      <c r="A82" s="92" t="str">
        <f t="array" ref="A82">IFERROR(INDEX('Annex 2 EHV charges'!$D$10:$D$259, MATCH(0, IF(ISBLANK('Annex 2 EHV charges'!$D$10:$D$259),1, COUNTIF(A$4:$A81, 'Annex 2 EHV charges'!$D$10:$D$259)), 0)),"")</f>
        <v/>
      </c>
      <c r="B82" s="91" t="str">
        <f>IF($A82="","",VLOOKUP($A82,'Annex 2 EHV charges'!$D:$O,2,0))</f>
        <v/>
      </c>
      <c r="C82" s="92" t="str">
        <f>IF($A82="","",VLOOKUP($A82,'Annex 2 EHV charges'!$D:$O,3,0))</f>
        <v/>
      </c>
      <c r="D82" s="91" t="str">
        <f>IF($A82="","",VLOOKUP($A82,'Annex 2 EHV charges'!$D:$O,4,0))</f>
        <v/>
      </c>
      <c r="E82" s="93" t="str">
        <f>IFERROR(IF(VLOOKUP($A82,'Annex 2 EHV charges'!$D:$O,9,FALSE)=0,"",VLOOKUP($A82,'Annex 2 EHV charges'!$D:$O,9,FALSE)),"")</f>
        <v/>
      </c>
      <c r="F82" s="94" t="str">
        <f>IFERROR(IF(VLOOKUP($A82,'Annex 2 EHV charges'!$D:$O,10,FALSE)=0,"",VLOOKUP($A82,'Annex 2 EHV charges'!$D:$O,10,FALSE)),"")</f>
        <v/>
      </c>
      <c r="G82" s="95" t="str">
        <f>IFERROR(IF(VLOOKUP($A82,'Annex 2 EHV charges'!$D:$O,11,FALSE)=0,"",VLOOKUP($A82,'Annex 2 EHV charges'!$D:$O,11,FALSE)),"")</f>
        <v/>
      </c>
      <c r="H82" s="95" t="str">
        <f>IFERROR(IF(VLOOKUP($A82,'Annex 2 EHV charges'!$D:$O,12,FALSE)=0,"",VLOOKUP($A82,'Annex 2 EHV charges'!$D:$O,12,FALSE)),"")</f>
        <v/>
      </c>
    </row>
    <row r="83" spans="1:8" ht="12.75" customHeight="1" x14ac:dyDescent="0.2">
      <c r="A83" s="92" t="str">
        <f t="array" ref="A83">IFERROR(INDEX('Annex 2 EHV charges'!$D$10:$D$259, MATCH(0, IF(ISBLANK('Annex 2 EHV charges'!$D$10:$D$259),1, COUNTIF(A$4:$A82, 'Annex 2 EHV charges'!$D$10:$D$259)), 0)),"")</f>
        <v/>
      </c>
      <c r="B83" s="91" t="str">
        <f>IF($A83="","",VLOOKUP($A83,'Annex 2 EHV charges'!$D:$O,2,0))</f>
        <v/>
      </c>
      <c r="C83" s="92" t="str">
        <f>IF($A83="","",VLOOKUP($A83,'Annex 2 EHV charges'!$D:$O,3,0))</f>
        <v/>
      </c>
      <c r="D83" s="91" t="str">
        <f>IF($A83="","",VLOOKUP($A83,'Annex 2 EHV charges'!$D:$O,4,0))</f>
        <v/>
      </c>
      <c r="E83" s="93" t="str">
        <f>IFERROR(IF(VLOOKUP($A83,'Annex 2 EHV charges'!$D:$O,9,FALSE)=0,"",VLOOKUP($A83,'Annex 2 EHV charges'!$D:$O,9,FALSE)),"")</f>
        <v/>
      </c>
      <c r="F83" s="94" t="str">
        <f>IFERROR(IF(VLOOKUP($A83,'Annex 2 EHV charges'!$D:$O,10,FALSE)=0,"",VLOOKUP($A83,'Annex 2 EHV charges'!$D:$O,10,FALSE)),"")</f>
        <v/>
      </c>
      <c r="G83" s="95" t="str">
        <f>IFERROR(IF(VLOOKUP($A83,'Annex 2 EHV charges'!$D:$O,11,FALSE)=0,"",VLOOKUP($A83,'Annex 2 EHV charges'!$D:$O,11,FALSE)),"")</f>
        <v/>
      </c>
      <c r="H83" s="95" t="str">
        <f>IFERROR(IF(VLOOKUP($A83,'Annex 2 EHV charges'!$D:$O,12,FALSE)=0,"",VLOOKUP($A83,'Annex 2 EHV charges'!$D:$O,12,FALSE)),"")</f>
        <v/>
      </c>
    </row>
    <row r="84" spans="1:8" ht="12.75" customHeight="1" x14ac:dyDescent="0.2">
      <c r="A84" s="92" t="str">
        <f t="array" ref="A84">IFERROR(INDEX('Annex 2 EHV charges'!$D$10:$D$259, MATCH(0, IF(ISBLANK('Annex 2 EHV charges'!$D$10:$D$259),1, COUNTIF(A$4:$A83, 'Annex 2 EHV charges'!$D$10:$D$259)), 0)),"")</f>
        <v/>
      </c>
      <c r="B84" s="91" t="str">
        <f>IF($A84="","",VLOOKUP($A84,'Annex 2 EHV charges'!$D:$O,2,0))</f>
        <v/>
      </c>
      <c r="C84" s="92" t="str">
        <f>IF($A84="","",VLOOKUP($A84,'Annex 2 EHV charges'!$D:$O,3,0))</f>
        <v/>
      </c>
      <c r="D84" s="91" t="str">
        <f>IF($A84="","",VLOOKUP($A84,'Annex 2 EHV charges'!$D:$O,4,0))</f>
        <v/>
      </c>
      <c r="E84" s="93" t="str">
        <f>IFERROR(IF(VLOOKUP($A84,'Annex 2 EHV charges'!$D:$O,9,FALSE)=0,"",VLOOKUP($A84,'Annex 2 EHV charges'!$D:$O,9,FALSE)),"")</f>
        <v/>
      </c>
      <c r="F84" s="94" t="str">
        <f>IFERROR(IF(VLOOKUP($A84,'Annex 2 EHV charges'!$D:$O,10,FALSE)=0,"",VLOOKUP($A84,'Annex 2 EHV charges'!$D:$O,10,FALSE)),"")</f>
        <v/>
      </c>
      <c r="G84" s="95" t="str">
        <f>IFERROR(IF(VLOOKUP($A84,'Annex 2 EHV charges'!$D:$O,11,FALSE)=0,"",VLOOKUP($A84,'Annex 2 EHV charges'!$D:$O,11,FALSE)),"")</f>
        <v/>
      </c>
      <c r="H84" s="95" t="str">
        <f>IFERROR(IF(VLOOKUP($A84,'Annex 2 EHV charges'!$D:$O,12,FALSE)=0,"",VLOOKUP($A84,'Annex 2 EHV charges'!$D:$O,12,FALSE)),"")</f>
        <v/>
      </c>
    </row>
    <row r="85" spans="1:8" ht="12.75" customHeight="1" x14ac:dyDescent="0.2">
      <c r="A85" s="92" t="str">
        <f t="array" ref="A85">IFERROR(INDEX('Annex 2 EHV charges'!$D$10:$D$259, MATCH(0, IF(ISBLANK('Annex 2 EHV charges'!$D$10:$D$259),1, COUNTIF(A$4:$A84, 'Annex 2 EHV charges'!$D$10:$D$259)), 0)),"")</f>
        <v/>
      </c>
      <c r="B85" s="91" t="str">
        <f>IF($A85="","",VLOOKUP($A85,'Annex 2 EHV charges'!$D:$O,2,0))</f>
        <v/>
      </c>
      <c r="C85" s="92" t="str">
        <f>IF($A85="","",VLOOKUP($A85,'Annex 2 EHV charges'!$D:$O,3,0))</f>
        <v/>
      </c>
      <c r="D85" s="91" t="str">
        <f>IF($A85="","",VLOOKUP($A85,'Annex 2 EHV charges'!$D:$O,4,0))</f>
        <v/>
      </c>
      <c r="E85" s="93" t="str">
        <f>IFERROR(IF(VLOOKUP($A85,'Annex 2 EHV charges'!$D:$O,9,FALSE)=0,"",VLOOKUP($A85,'Annex 2 EHV charges'!$D:$O,9,FALSE)),"")</f>
        <v/>
      </c>
      <c r="F85" s="94" t="str">
        <f>IFERROR(IF(VLOOKUP($A85,'Annex 2 EHV charges'!$D:$O,10,FALSE)=0,"",VLOOKUP($A85,'Annex 2 EHV charges'!$D:$O,10,FALSE)),"")</f>
        <v/>
      </c>
      <c r="G85" s="95" t="str">
        <f>IFERROR(IF(VLOOKUP($A85,'Annex 2 EHV charges'!$D:$O,11,FALSE)=0,"",VLOOKUP($A85,'Annex 2 EHV charges'!$D:$O,11,FALSE)),"")</f>
        <v/>
      </c>
      <c r="H85" s="95" t="str">
        <f>IFERROR(IF(VLOOKUP($A85,'Annex 2 EHV charges'!$D:$O,12,FALSE)=0,"",VLOOKUP($A85,'Annex 2 EHV charges'!$D:$O,12,FALSE)),"")</f>
        <v/>
      </c>
    </row>
    <row r="86" spans="1:8" ht="12.75" customHeight="1" x14ac:dyDescent="0.2">
      <c r="A86" s="92" t="str">
        <f t="array" ref="A86">IFERROR(INDEX('Annex 2 EHV charges'!$D$10:$D$259, MATCH(0, IF(ISBLANK('Annex 2 EHV charges'!$D$10:$D$259),1, COUNTIF(A$4:$A85, 'Annex 2 EHV charges'!$D$10:$D$259)), 0)),"")</f>
        <v/>
      </c>
      <c r="B86" s="91" t="str">
        <f>IF($A86="","",VLOOKUP($A86,'Annex 2 EHV charges'!$D:$O,2,0))</f>
        <v/>
      </c>
      <c r="C86" s="92" t="str">
        <f>IF($A86="","",VLOOKUP($A86,'Annex 2 EHV charges'!$D:$O,3,0))</f>
        <v/>
      </c>
      <c r="D86" s="91" t="str">
        <f>IF($A86="","",VLOOKUP($A86,'Annex 2 EHV charges'!$D:$O,4,0))</f>
        <v/>
      </c>
      <c r="E86" s="93" t="str">
        <f>IFERROR(IF(VLOOKUP($A86,'Annex 2 EHV charges'!$D:$O,9,FALSE)=0,"",VLOOKUP($A86,'Annex 2 EHV charges'!$D:$O,9,FALSE)),"")</f>
        <v/>
      </c>
      <c r="F86" s="94" t="str">
        <f>IFERROR(IF(VLOOKUP($A86,'Annex 2 EHV charges'!$D:$O,10,FALSE)=0,"",VLOOKUP($A86,'Annex 2 EHV charges'!$D:$O,10,FALSE)),"")</f>
        <v/>
      </c>
      <c r="G86" s="95" t="str">
        <f>IFERROR(IF(VLOOKUP($A86,'Annex 2 EHV charges'!$D:$O,11,FALSE)=0,"",VLOOKUP($A86,'Annex 2 EHV charges'!$D:$O,11,FALSE)),"")</f>
        <v/>
      </c>
      <c r="H86" s="95" t="str">
        <f>IFERROR(IF(VLOOKUP($A86,'Annex 2 EHV charges'!$D:$O,12,FALSE)=0,"",VLOOKUP($A86,'Annex 2 EHV charges'!$D:$O,12,FALSE)),"")</f>
        <v/>
      </c>
    </row>
    <row r="87" spans="1:8" ht="12.75" customHeight="1" x14ac:dyDescent="0.2">
      <c r="A87" s="92" t="str">
        <f t="array" ref="A87">IFERROR(INDEX('Annex 2 EHV charges'!$D$10:$D$259, MATCH(0, IF(ISBLANK('Annex 2 EHV charges'!$D$10:$D$259),1, COUNTIF(A$4:$A86, 'Annex 2 EHV charges'!$D$10:$D$259)), 0)),"")</f>
        <v/>
      </c>
      <c r="B87" s="91" t="str">
        <f>IF($A87="","",VLOOKUP($A87,'Annex 2 EHV charges'!$D:$O,2,0))</f>
        <v/>
      </c>
      <c r="C87" s="92" t="str">
        <f>IF($A87="","",VLOOKUP($A87,'Annex 2 EHV charges'!$D:$O,3,0))</f>
        <v/>
      </c>
      <c r="D87" s="91" t="str">
        <f>IF($A87="","",VLOOKUP($A87,'Annex 2 EHV charges'!$D:$O,4,0))</f>
        <v/>
      </c>
      <c r="E87" s="93" t="str">
        <f>IFERROR(IF(VLOOKUP($A87,'Annex 2 EHV charges'!$D:$O,9,FALSE)=0,"",VLOOKUP($A87,'Annex 2 EHV charges'!$D:$O,9,FALSE)),"")</f>
        <v/>
      </c>
      <c r="F87" s="94" t="str">
        <f>IFERROR(IF(VLOOKUP($A87,'Annex 2 EHV charges'!$D:$O,10,FALSE)=0,"",VLOOKUP($A87,'Annex 2 EHV charges'!$D:$O,10,FALSE)),"")</f>
        <v/>
      </c>
      <c r="G87" s="95" t="str">
        <f>IFERROR(IF(VLOOKUP($A87,'Annex 2 EHV charges'!$D:$O,11,FALSE)=0,"",VLOOKUP($A87,'Annex 2 EHV charges'!$D:$O,11,FALSE)),"")</f>
        <v/>
      </c>
      <c r="H87" s="95" t="str">
        <f>IFERROR(IF(VLOOKUP($A87,'Annex 2 EHV charges'!$D:$O,12,FALSE)=0,"",VLOOKUP($A87,'Annex 2 EHV charges'!$D:$O,12,FALSE)),"")</f>
        <v/>
      </c>
    </row>
    <row r="88" spans="1:8" ht="12.75" customHeight="1" x14ac:dyDescent="0.2">
      <c r="A88" s="92" t="str">
        <f t="array" ref="A88">IFERROR(INDEX('Annex 2 EHV charges'!$D$10:$D$259, MATCH(0, IF(ISBLANK('Annex 2 EHV charges'!$D$10:$D$259),1, COUNTIF(A$4:$A87, 'Annex 2 EHV charges'!$D$10:$D$259)), 0)),"")</f>
        <v/>
      </c>
      <c r="B88" s="91" t="str">
        <f>IF($A88="","",VLOOKUP($A88,'Annex 2 EHV charges'!$D:$O,2,0))</f>
        <v/>
      </c>
      <c r="C88" s="92" t="str">
        <f>IF($A88="","",VLOOKUP($A88,'Annex 2 EHV charges'!$D:$O,3,0))</f>
        <v/>
      </c>
      <c r="D88" s="91" t="str">
        <f>IF($A88="","",VLOOKUP($A88,'Annex 2 EHV charges'!$D:$O,4,0))</f>
        <v/>
      </c>
      <c r="E88" s="93" t="str">
        <f>IFERROR(IF(VLOOKUP($A88,'Annex 2 EHV charges'!$D:$O,9,FALSE)=0,"",VLOOKUP($A88,'Annex 2 EHV charges'!$D:$O,9,FALSE)),"")</f>
        <v/>
      </c>
      <c r="F88" s="94" t="str">
        <f>IFERROR(IF(VLOOKUP($A88,'Annex 2 EHV charges'!$D:$O,10,FALSE)=0,"",VLOOKUP($A88,'Annex 2 EHV charges'!$D:$O,10,FALSE)),"")</f>
        <v/>
      </c>
      <c r="G88" s="95" t="str">
        <f>IFERROR(IF(VLOOKUP($A88,'Annex 2 EHV charges'!$D:$O,11,FALSE)=0,"",VLOOKUP($A88,'Annex 2 EHV charges'!$D:$O,11,FALSE)),"")</f>
        <v/>
      </c>
      <c r="H88" s="95" t="str">
        <f>IFERROR(IF(VLOOKUP($A88,'Annex 2 EHV charges'!$D:$O,12,FALSE)=0,"",VLOOKUP($A88,'Annex 2 EHV charges'!$D:$O,12,FALSE)),"")</f>
        <v/>
      </c>
    </row>
    <row r="89" spans="1:8" ht="12.75" customHeight="1" x14ac:dyDescent="0.2">
      <c r="A89" s="92" t="str">
        <f t="array" ref="A89">IFERROR(INDEX('Annex 2 EHV charges'!$D$10:$D$259, MATCH(0, IF(ISBLANK('Annex 2 EHV charges'!$D$10:$D$259),1, COUNTIF(A$4:$A88, 'Annex 2 EHV charges'!$D$10:$D$259)), 0)),"")</f>
        <v/>
      </c>
      <c r="B89" s="91" t="str">
        <f>IF($A89="","",VLOOKUP($A89,'Annex 2 EHV charges'!$D:$O,2,0))</f>
        <v/>
      </c>
      <c r="C89" s="92" t="str">
        <f>IF($A89="","",VLOOKUP($A89,'Annex 2 EHV charges'!$D:$O,3,0))</f>
        <v/>
      </c>
      <c r="D89" s="91" t="str">
        <f>IF($A89="","",VLOOKUP($A89,'Annex 2 EHV charges'!$D:$O,4,0))</f>
        <v/>
      </c>
      <c r="E89" s="93" t="str">
        <f>IFERROR(IF(VLOOKUP($A89,'Annex 2 EHV charges'!$D:$O,9,FALSE)=0,"",VLOOKUP($A89,'Annex 2 EHV charges'!$D:$O,9,FALSE)),"")</f>
        <v/>
      </c>
      <c r="F89" s="94" t="str">
        <f>IFERROR(IF(VLOOKUP($A89,'Annex 2 EHV charges'!$D:$O,10,FALSE)=0,"",VLOOKUP($A89,'Annex 2 EHV charges'!$D:$O,10,FALSE)),"")</f>
        <v/>
      </c>
      <c r="G89" s="95" t="str">
        <f>IFERROR(IF(VLOOKUP($A89,'Annex 2 EHV charges'!$D:$O,11,FALSE)=0,"",VLOOKUP($A89,'Annex 2 EHV charges'!$D:$O,11,FALSE)),"")</f>
        <v/>
      </c>
      <c r="H89" s="95" t="str">
        <f>IFERROR(IF(VLOOKUP($A89,'Annex 2 EHV charges'!$D:$O,12,FALSE)=0,"",VLOOKUP($A89,'Annex 2 EHV charges'!$D:$O,12,FALSE)),"")</f>
        <v/>
      </c>
    </row>
    <row r="90" spans="1:8" ht="12.75" customHeight="1" x14ac:dyDescent="0.2">
      <c r="A90" s="92" t="str">
        <f t="array" ref="A90">IFERROR(INDEX('Annex 2 EHV charges'!$D$10:$D$259, MATCH(0, IF(ISBLANK('Annex 2 EHV charges'!$D$10:$D$259),1, COUNTIF(A$4:$A89, 'Annex 2 EHV charges'!$D$10:$D$259)), 0)),"")</f>
        <v/>
      </c>
      <c r="B90" s="91" t="str">
        <f>IF($A90="","",VLOOKUP($A90,'Annex 2 EHV charges'!$D:$O,2,0))</f>
        <v/>
      </c>
      <c r="C90" s="92" t="str">
        <f>IF($A90="","",VLOOKUP($A90,'Annex 2 EHV charges'!$D:$O,3,0))</f>
        <v/>
      </c>
      <c r="D90" s="91" t="str">
        <f>IF($A90="","",VLOOKUP($A90,'Annex 2 EHV charges'!$D:$O,4,0))</f>
        <v/>
      </c>
      <c r="E90" s="93" t="str">
        <f>IFERROR(IF(VLOOKUP($A90,'Annex 2 EHV charges'!$D:$O,9,FALSE)=0,"",VLOOKUP($A90,'Annex 2 EHV charges'!$D:$O,9,FALSE)),"")</f>
        <v/>
      </c>
      <c r="F90" s="94" t="str">
        <f>IFERROR(IF(VLOOKUP($A90,'Annex 2 EHV charges'!$D:$O,10,FALSE)=0,"",VLOOKUP($A90,'Annex 2 EHV charges'!$D:$O,10,FALSE)),"")</f>
        <v/>
      </c>
      <c r="G90" s="95" t="str">
        <f>IFERROR(IF(VLOOKUP($A90,'Annex 2 EHV charges'!$D:$O,11,FALSE)=0,"",VLOOKUP($A90,'Annex 2 EHV charges'!$D:$O,11,FALSE)),"")</f>
        <v/>
      </c>
      <c r="H90" s="95" t="str">
        <f>IFERROR(IF(VLOOKUP($A90,'Annex 2 EHV charges'!$D:$O,12,FALSE)=0,"",VLOOKUP($A90,'Annex 2 EHV charges'!$D:$O,12,FALSE)),"")</f>
        <v/>
      </c>
    </row>
    <row r="91" spans="1:8" ht="12.75" customHeight="1" x14ac:dyDescent="0.2">
      <c r="A91" s="92" t="str">
        <f t="array" ref="A91">IFERROR(INDEX('Annex 2 EHV charges'!$D$10:$D$259, MATCH(0, IF(ISBLANK('Annex 2 EHV charges'!$D$10:$D$259),1, COUNTIF(A$4:$A90, 'Annex 2 EHV charges'!$D$10:$D$259)), 0)),"")</f>
        <v/>
      </c>
      <c r="B91" s="91" t="str">
        <f>IF($A91="","",VLOOKUP($A91,'Annex 2 EHV charges'!$D:$O,2,0))</f>
        <v/>
      </c>
      <c r="C91" s="92" t="str">
        <f>IF($A91="","",VLOOKUP($A91,'Annex 2 EHV charges'!$D:$O,3,0))</f>
        <v/>
      </c>
      <c r="D91" s="91" t="str">
        <f>IF($A91="","",VLOOKUP($A91,'Annex 2 EHV charges'!$D:$O,4,0))</f>
        <v/>
      </c>
      <c r="E91" s="93" t="str">
        <f>IFERROR(IF(VLOOKUP($A91,'Annex 2 EHV charges'!$D:$O,9,FALSE)=0,"",VLOOKUP($A91,'Annex 2 EHV charges'!$D:$O,9,FALSE)),"")</f>
        <v/>
      </c>
      <c r="F91" s="94" t="str">
        <f>IFERROR(IF(VLOOKUP($A91,'Annex 2 EHV charges'!$D:$O,10,FALSE)=0,"",VLOOKUP($A91,'Annex 2 EHV charges'!$D:$O,10,FALSE)),"")</f>
        <v/>
      </c>
      <c r="G91" s="95" t="str">
        <f>IFERROR(IF(VLOOKUP($A91,'Annex 2 EHV charges'!$D:$O,11,FALSE)=0,"",VLOOKUP($A91,'Annex 2 EHV charges'!$D:$O,11,FALSE)),"")</f>
        <v/>
      </c>
      <c r="H91" s="95" t="str">
        <f>IFERROR(IF(VLOOKUP($A91,'Annex 2 EHV charges'!$D:$O,12,FALSE)=0,"",VLOOKUP($A91,'Annex 2 EHV charges'!$D:$O,12,FALSE)),"")</f>
        <v/>
      </c>
    </row>
    <row r="92" spans="1:8" ht="12.75" customHeight="1" x14ac:dyDescent="0.2">
      <c r="A92" s="92" t="str">
        <f t="array" ref="A92">IFERROR(INDEX('Annex 2 EHV charges'!$D$10:$D$259, MATCH(0, IF(ISBLANK('Annex 2 EHV charges'!$D$10:$D$259),1, COUNTIF(A$4:$A91, 'Annex 2 EHV charges'!$D$10:$D$259)), 0)),"")</f>
        <v/>
      </c>
      <c r="B92" s="91" t="str">
        <f>IF($A92="","",VLOOKUP($A92,'Annex 2 EHV charges'!$D:$O,2,0))</f>
        <v/>
      </c>
      <c r="C92" s="92" t="str">
        <f>IF($A92="","",VLOOKUP($A92,'Annex 2 EHV charges'!$D:$O,3,0))</f>
        <v/>
      </c>
      <c r="D92" s="91" t="str">
        <f>IF($A92="","",VLOOKUP($A92,'Annex 2 EHV charges'!$D:$O,4,0))</f>
        <v/>
      </c>
      <c r="E92" s="93" t="str">
        <f>IFERROR(IF(VLOOKUP($A92,'Annex 2 EHV charges'!$D:$O,9,FALSE)=0,"",VLOOKUP($A92,'Annex 2 EHV charges'!$D:$O,9,FALSE)),"")</f>
        <v/>
      </c>
      <c r="F92" s="94" t="str">
        <f>IFERROR(IF(VLOOKUP($A92,'Annex 2 EHV charges'!$D:$O,10,FALSE)=0,"",VLOOKUP($A92,'Annex 2 EHV charges'!$D:$O,10,FALSE)),"")</f>
        <v/>
      </c>
      <c r="G92" s="95" t="str">
        <f>IFERROR(IF(VLOOKUP($A92,'Annex 2 EHV charges'!$D:$O,11,FALSE)=0,"",VLOOKUP($A92,'Annex 2 EHV charges'!$D:$O,11,FALSE)),"")</f>
        <v/>
      </c>
      <c r="H92" s="95" t="str">
        <f>IFERROR(IF(VLOOKUP($A92,'Annex 2 EHV charges'!$D:$O,12,FALSE)=0,"",VLOOKUP($A92,'Annex 2 EHV charges'!$D:$O,12,FALSE)),"")</f>
        <v/>
      </c>
    </row>
    <row r="93" spans="1:8" ht="12.75" customHeight="1" x14ac:dyDescent="0.2">
      <c r="A93" s="92" t="str">
        <f t="array" ref="A93">IFERROR(INDEX('Annex 2 EHV charges'!$D$10:$D$259, MATCH(0, IF(ISBLANK('Annex 2 EHV charges'!$D$10:$D$259),1, COUNTIF(A$4:$A92, 'Annex 2 EHV charges'!$D$10:$D$259)), 0)),"")</f>
        <v/>
      </c>
      <c r="B93" s="91" t="str">
        <f>IF($A93="","",VLOOKUP($A93,'Annex 2 EHV charges'!$D:$O,2,0))</f>
        <v/>
      </c>
      <c r="C93" s="92" t="str">
        <f>IF($A93="","",VLOOKUP($A93,'Annex 2 EHV charges'!$D:$O,3,0))</f>
        <v/>
      </c>
      <c r="D93" s="91" t="str">
        <f>IF($A93="","",VLOOKUP($A93,'Annex 2 EHV charges'!$D:$O,4,0))</f>
        <v/>
      </c>
      <c r="E93" s="93" t="str">
        <f>IFERROR(IF(VLOOKUP($A93,'Annex 2 EHV charges'!$D:$O,9,FALSE)=0,"",VLOOKUP($A93,'Annex 2 EHV charges'!$D:$O,9,FALSE)),"")</f>
        <v/>
      </c>
      <c r="F93" s="94" t="str">
        <f>IFERROR(IF(VLOOKUP($A93,'Annex 2 EHV charges'!$D:$O,10,FALSE)=0,"",VLOOKUP($A93,'Annex 2 EHV charges'!$D:$O,10,FALSE)),"")</f>
        <v/>
      </c>
      <c r="G93" s="95" t="str">
        <f>IFERROR(IF(VLOOKUP($A93,'Annex 2 EHV charges'!$D:$O,11,FALSE)=0,"",VLOOKUP($A93,'Annex 2 EHV charges'!$D:$O,11,FALSE)),"")</f>
        <v/>
      </c>
      <c r="H93" s="95" t="str">
        <f>IFERROR(IF(VLOOKUP($A93,'Annex 2 EHV charges'!$D:$O,12,FALSE)=0,"",VLOOKUP($A93,'Annex 2 EHV charges'!$D:$O,12,FALSE)),"")</f>
        <v/>
      </c>
    </row>
    <row r="94" spans="1:8" ht="12.75" customHeight="1" x14ac:dyDescent="0.2">
      <c r="A94" s="92" t="str">
        <f t="array" ref="A94">IFERROR(INDEX('Annex 2 EHV charges'!$D$10:$D$259, MATCH(0, IF(ISBLANK('Annex 2 EHV charges'!$D$10:$D$259),1, COUNTIF(A$4:$A93, 'Annex 2 EHV charges'!$D$10:$D$259)), 0)),"")</f>
        <v/>
      </c>
      <c r="B94" s="91" t="str">
        <f>IF($A94="","",VLOOKUP($A94,'Annex 2 EHV charges'!$D:$O,2,0))</f>
        <v/>
      </c>
      <c r="C94" s="92" t="str">
        <f>IF($A94="","",VLOOKUP($A94,'Annex 2 EHV charges'!$D:$O,3,0))</f>
        <v/>
      </c>
      <c r="D94" s="91" t="str">
        <f>IF($A94="","",VLOOKUP($A94,'Annex 2 EHV charges'!$D:$O,4,0))</f>
        <v/>
      </c>
      <c r="E94" s="93" t="str">
        <f>IFERROR(IF(VLOOKUP($A94,'Annex 2 EHV charges'!$D:$O,9,FALSE)=0,"",VLOOKUP($A94,'Annex 2 EHV charges'!$D:$O,9,FALSE)),"")</f>
        <v/>
      </c>
      <c r="F94" s="94" t="str">
        <f>IFERROR(IF(VLOOKUP($A94,'Annex 2 EHV charges'!$D:$O,10,FALSE)=0,"",VLOOKUP($A94,'Annex 2 EHV charges'!$D:$O,10,FALSE)),"")</f>
        <v/>
      </c>
      <c r="G94" s="95" t="str">
        <f>IFERROR(IF(VLOOKUP($A94,'Annex 2 EHV charges'!$D:$O,11,FALSE)=0,"",VLOOKUP($A94,'Annex 2 EHV charges'!$D:$O,11,FALSE)),"")</f>
        <v/>
      </c>
      <c r="H94" s="95" t="str">
        <f>IFERROR(IF(VLOOKUP($A94,'Annex 2 EHV charges'!$D:$O,12,FALSE)=0,"",VLOOKUP($A94,'Annex 2 EHV charges'!$D:$O,12,FALSE)),"")</f>
        <v/>
      </c>
    </row>
    <row r="95" spans="1:8" ht="12.75" customHeight="1" x14ac:dyDescent="0.2">
      <c r="A95" s="92" t="str">
        <f t="array" ref="A95">IFERROR(INDEX('Annex 2 EHV charges'!$D$10:$D$259, MATCH(0, IF(ISBLANK('Annex 2 EHV charges'!$D$10:$D$259),1, COUNTIF(A$4:$A94, 'Annex 2 EHV charges'!$D$10:$D$259)), 0)),"")</f>
        <v/>
      </c>
      <c r="B95" s="91" t="str">
        <f>IF($A95="","",VLOOKUP($A95,'Annex 2 EHV charges'!$D:$O,2,0))</f>
        <v/>
      </c>
      <c r="C95" s="92" t="str">
        <f>IF($A95="","",VLOOKUP($A95,'Annex 2 EHV charges'!$D:$O,3,0))</f>
        <v/>
      </c>
      <c r="D95" s="91" t="str">
        <f>IF($A95="","",VLOOKUP($A95,'Annex 2 EHV charges'!$D:$O,4,0))</f>
        <v/>
      </c>
      <c r="E95" s="93" t="str">
        <f>IFERROR(IF(VLOOKUP($A95,'Annex 2 EHV charges'!$D:$O,9,FALSE)=0,"",VLOOKUP($A95,'Annex 2 EHV charges'!$D:$O,9,FALSE)),"")</f>
        <v/>
      </c>
      <c r="F95" s="94" t="str">
        <f>IFERROR(IF(VLOOKUP($A95,'Annex 2 EHV charges'!$D:$O,10,FALSE)=0,"",VLOOKUP($A95,'Annex 2 EHV charges'!$D:$O,10,FALSE)),"")</f>
        <v/>
      </c>
      <c r="G95" s="95" t="str">
        <f>IFERROR(IF(VLOOKUP($A95,'Annex 2 EHV charges'!$D:$O,11,FALSE)=0,"",VLOOKUP($A95,'Annex 2 EHV charges'!$D:$O,11,FALSE)),"")</f>
        <v/>
      </c>
      <c r="H95" s="95" t="str">
        <f>IFERROR(IF(VLOOKUP($A95,'Annex 2 EHV charges'!$D:$O,12,FALSE)=0,"",VLOOKUP($A95,'Annex 2 EHV charges'!$D:$O,12,FALSE)),"")</f>
        <v/>
      </c>
    </row>
    <row r="96" spans="1:8" ht="12.75" customHeight="1" x14ac:dyDescent="0.2">
      <c r="A96" s="92" t="str">
        <f t="array" ref="A96">IFERROR(INDEX('Annex 2 EHV charges'!$D$10:$D$259, MATCH(0, IF(ISBLANK('Annex 2 EHV charges'!$D$10:$D$259),1, COUNTIF(A$4:$A95, 'Annex 2 EHV charges'!$D$10:$D$259)), 0)),"")</f>
        <v/>
      </c>
      <c r="B96" s="91" t="str">
        <f>IF($A96="","",VLOOKUP($A96,'Annex 2 EHV charges'!$D:$O,2,0))</f>
        <v/>
      </c>
      <c r="C96" s="92" t="str">
        <f>IF($A96="","",VLOOKUP($A96,'Annex 2 EHV charges'!$D:$O,3,0))</f>
        <v/>
      </c>
      <c r="D96" s="91" t="str">
        <f>IF($A96="","",VLOOKUP($A96,'Annex 2 EHV charges'!$D:$O,4,0))</f>
        <v/>
      </c>
      <c r="E96" s="93" t="str">
        <f>IFERROR(IF(VLOOKUP($A96,'Annex 2 EHV charges'!$D:$O,9,FALSE)=0,"",VLOOKUP($A96,'Annex 2 EHV charges'!$D:$O,9,FALSE)),"")</f>
        <v/>
      </c>
      <c r="F96" s="94" t="str">
        <f>IFERROR(IF(VLOOKUP($A96,'Annex 2 EHV charges'!$D:$O,10,FALSE)=0,"",VLOOKUP($A96,'Annex 2 EHV charges'!$D:$O,10,FALSE)),"")</f>
        <v/>
      </c>
      <c r="G96" s="95" t="str">
        <f>IFERROR(IF(VLOOKUP($A96,'Annex 2 EHV charges'!$D:$O,11,FALSE)=0,"",VLOOKUP($A96,'Annex 2 EHV charges'!$D:$O,11,FALSE)),"")</f>
        <v/>
      </c>
      <c r="H96" s="95" t="str">
        <f>IFERROR(IF(VLOOKUP($A96,'Annex 2 EHV charges'!$D:$O,12,FALSE)=0,"",VLOOKUP($A96,'Annex 2 EHV charges'!$D:$O,12,FALSE)),"")</f>
        <v/>
      </c>
    </row>
    <row r="97" spans="1:8" ht="12.75" customHeight="1" x14ac:dyDescent="0.2">
      <c r="A97" s="92" t="str">
        <f t="array" ref="A97">IFERROR(INDEX('Annex 2 EHV charges'!$D$10:$D$259, MATCH(0, IF(ISBLANK('Annex 2 EHV charges'!$D$10:$D$259),1, COUNTIF(A$4:$A96, 'Annex 2 EHV charges'!$D$10:$D$259)), 0)),"")</f>
        <v/>
      </c>
      <c r="B97" s="91" t="str">
        <f>IF($A97="","",VLOOKUP($A97,'Annex 2 EHV charges'!$D:$O,2,0))</f>
        <v/>
      </c>
      <c r="C97" s="92" t="str">
        <f>IF($A97="","",VLOOKUP($A97,'Annex 2 EHV charges'!$D:$O,3,0))</f>
        <v/>
      </c>
      <c r="D97" s="91" t="str">
        <f>IF($A97="","",VLOOKUP($A97,'Annex 2 EHV charges'!$D:$O,4,0))</f>
        <v/>
      </c>
      <c r="E97" s="93" t="str">
        <f>IFERROR(IF(VLOOKUP($A97,'Annex 2 EHV charges'!$D:$O,9,FALSE)=0,"",VLOOKUP($A97,'Annex 2 EHV charges'!$D:$O,9,FALSE)),"")</f>
        <v/>
      </c>
      <c r="F97" s="94" t="str">
        <f>IFERROR(IF(VLOOKUP($A97,'Annex 2 EHV charges'!$D:$O,10,FALSE)=0,"",VLOOKUP($A97,'Annex 2 EHV charges'!$D:$O,10,FALSE)),"")</f>
        <v/>
      </c>
      <c r="G97" s="95" t="str">
        <f>IFERROR(IF(VLOOKUP($A97,'Annex 2 EHV charges'!$D:$O,11,FALSE)=0,"",VLOOKUP($A97,'Annex 2 EHV charges'!$D:$O,11,FALSE)),"")</f>
        <v/>
      </c>
      <c r="H97" s="95" t="str">
        <f>IFERROR(IF(VLOOKUP($A97,'Annex 2 EHV charges'!$D:$O,12,FALSE)=0,"",VLOOKUP($A97,'Annex 2 EHV charges'!$D:$O,12,FALSE)),"")</f>
        <v/>
      </c>
    </row>
    <row r="98" spans="1:8" ht="12.75" customHeight="1" x14ac:dyDescent="0.2">
      <c r="A98" s="92" t="str">
        <f t="array" ref="A98">IFERROR(INDEX('Annex 2 EHV charges'!$D$10:$D$259, MATCH(0, IF(ISBLANK('Annex 2 EHV charges'!$D$10:$D$259),1, COUNTIF(A$4:$A97, 'Annex 2 EHV charges'!$D$10:$D$259)), 0)),"")</f>
        <v/>
      </c>
      <c r="B98" s="91" t="str">
        <f>IF($A98="","",VLOOKUP($A98,'Annex 2 EHV charges'!$D:$O,2,0))</f>
        <v/>
      </c>
      <c r="C98" s="92" t="str">
        <f>IF($A98="","",VLOOKUP($A98,'Annex 2 EHV charges'!$D:$O,3,0))</f>
        <v/>
      </c>
      <c r="D98" s="91" t="str">
        <f>IF($A98="","",VLOOKUP($A98,'Annex 2 EHV charges'!$D:$O,4,0))</f>
        <v/>
      </c>
      <c r="E98" s="93" t="str">
        <f>IFERROR(IF(VLOOKUP($A98,'Annex 2 EHV charges'!$D:$O,9,FALSE)=0,"",VLOOKUP($A98,'Annex 2 EHV charges'!$D:$O,9,FALSE)),"")</f>
        <v/>
      </c>
      <c r="F98" s="94" t="str">
        <f>IFERROR(IF(VLOOKUP($A98,'Annex 2 EHV charges'!$D:$O,10,FALSE)=0,"",VLOOKUP($A98,'Annex 2 EHV charges'!$D:$O,10,FALSE)),"")</f>
        <v/>
      </c>
      <c r="G98" s="95" t="str">
        <f>IFERROR(IF(VLOOKUP($A98,'Annex 2 EHV charges'!$D:$O,11,FALSE)=0,"",VLOOKUP($A98,'Annex 2 EHV charges'!$D:$O,11,FALSE)),"")</f>
        <v/>
      </c>
      <c r="H98" s="95" t="str">
        <f>IFERROR(IF(VLOOKUP($A98,'Annex 2 EHV charges'!$D:$O,12,FALSE)=0,"",VLOOKUP($A98,'Annex 2 EHV charges'!$D:$O,12,FALSE)),"")</f>
        <v/>
      </c>
    </row>
    <row r="99" spans="1:8" ht="12.75" customHeight="1" x14ac:dyDescent="0.2">
      <c r="A99" s="92" t="str">
        <f t="array" ref="A99">IFERROR(INDEX('Annex 2 EHV charges'!$D$10:$D$259, MATCH(0, IF(ISBLANK('Annex 2 EHV charges'!$D$10:$D$259),1, COUNTIF(A$4:$A98, 'Annex 2 EHV charges'!$D$10:$D$259)), 0)),"")</f>
        <v/>
      </c>
      <c r="B99" s="91" t="str">
        <f>IF($A99="","",VLOOKUP($A99,'Annex 2 EHV charges'!$D:$O,2,0))</f>
        <v/>
      </c>
      <c r="C99" s="92" t="str">
        <f>IF($A99="","",VLOOKUP($A99,'Annex 2 EHV charges'!$D:$O,3,0))</f>
        <v/>
      </c>
      <c r="D99" s="91" t="str">
        <f>IF($A99="","",VLOOKUP($A99,'Annex 2 EHV charges'!$D:$O,4,0))</f>
        <v/>
      </c>
      <c r="E99" s="93" t="str">
        <f>IFERROR(IF(VLOOKUP($A99,'Annex 2 EHV charges'!$D:$O,9,FALSE)=0,"",VLOOKUP($A99,'Annex 2 EHV charges'!$D:$O,9,FALSE)),"")</f>
        <v/>
      </c>
      <c r="F99" s="94" t="str">
        <f>IFERROR(IF(VLOOKUP($A99,'Annex 2 EHV charges'!$D:$O,10,FALSE)=0,"",VLOOKUP($A99,'Annex 2 EHV charges'!$D:$O,10,FALSE)),"")</f>
        <v/>
      </c>
      <c r="G99" s="95" t="str">
        <f>IFERROR(IF(VLOOKUP($A99,'Annex 2 EHV charges'!$D:$O,11,FALSE)=0,"",VLOOKUP($A99,'Annex 2 EHV charges'!$D:$O,11,FALSE)),"")</f>
        <v/>
      </c>
      <c r="H99" s="95" t="str">
        <f>IFERROR(IF(VLOOKUP($A99,'Annex 2 EHV charges'!$D:$O,12,FALSE)=0,"",VLOOKUP($A99,'Annex 2 EHV charges'!$D:$O,12,FALSE)),"")</f>
        <v/>
      </c>
    </row>
    <row r="100" spans="1:8" ht="12.75" customHeight="1" x14ac:dyDescent="0.2">
      <c r="A100" s="92" t="str">
        <f t="array" ref="A100">IFERROR(INDEX('Annex 2 EHV charges'!$D$10:$D$259, MATCH(0, IF(ISBLANK('Annex 2 EHV charges'!$D$10:$D$259),1, COUNTIF(A$4:$A99, 'Annex 2 EHV charges'!$D$10:$D$259)), 0)),"")</f>
        <v/>
      </c>
      <c r="B100" s="91" t="str">
        <f>IF($A100="","",VLOOKUP($A100,'Annex 2 EHV charges'!$D:$O,2,0))</f>
        <v/>
      </c>
      <c r="C100" s="92" t="str">
        <f>IF($A100="","",VLOOKUP($A100,'Annex 2 EHV charges'!$D:$O,3,0))</f>
        <v/>
      </c>
      <c r="D100" s="91" t="str">
        <f>IF($A100="","",VLOOKUP($A100,'Annex 2 EHV charges'!$D:$O,4,0))</f>
        <v/>
      </c>
      <c r="E100" s="93" t="str">
        <f>IFERROR(IF(VLOOKUP($A100,'Annex 2 EHV charges'!$D:$O,9,FALSE)=0,"",VLOOKUP($A100,'Annex 2 EHV charges'!$D:$O,9,FALSE)),"")</f>
        <v/>
      </c>
      <c r="F100" s="94" t="str">
        <f>IFERROR(IF(VLOOKUP($A100,'Annex 2 EHV charges'!$D:$O,10,FALSE)=0,"",VLOOKUP($A100,'Annex 2 EHV charges'!$D:$O,10,FALSE)),"")</f>
        <v/>
      </c>
      <c r="G100" s="95" t="str">
        <f>IFERROR(IF(VLOOKUP($A100,'Annex 2 EHV charges'!$D:$O,11,FALSE)=0,"",VLOOKUP($A100,'Annex 2 EHV charges'!$D:$O,11,FALSE)),"")</f>
        <v/>
      </c>
      <c r="H100" s="95" t="str">
        <f>IFERROR(IF(VLOOKUP($A100,'Annex 2 EHV charges'!$D:$O,12,FALSE)=0,"",VLOOKUP($A100,'Annex 2 EHV charges'!$D:$O,12,FALSE)),"")</f>
        <v/>
      </c>
    </row>
    <row r="101" spans="1:8" ht="12.75" customHeight="1" x14ac:dyDescent="0.2">
      <c r="A101" s="92" t="str">
        <f t="array" ref="A101">IFERROR(INDEX('Annex 2 EHV charges'!$D$10:$D$259, MATCH(0, IF(ISBLANK('Annex 2 EHV charges'!$D$10:$D$259),1, COUNTIF(A$4:$A100, 'Annex 2 EHV charges'!$D$10:$D$259)), 0)),"")</f>
        <v/>
      </c>
      <c r="B101" s="91" t="str">
        <f>IF($A101="","",VLOOKUP($A101,'Annex 2 EHV charges'!$D:$O,2,0))</f>
        <v/>
      </c>
      <c r="C101" s="92" t="str">
        <f>IF($A101="","",VLOOKUP($A101,'Annex 2 EHV charges'!$D:$O,3,0))</f>
        <v/>
      </c>
      <c r="D101" s="91" t="str">
        <f>IF($A101="","",VLOOKUP($A101,'Annex 2 EHV charges'!$D:$O,4,0))</f>
        <v/>
      </c>
      <c r="E101" s="93" t="str">
        <f>IFERROR(IF(VLOOKUP($A101,'Annex 2 EHV charges'!$D:$O,9,FALSE)=0,"",VLOOKUP($A101,'Annex 2 EHV charges'!$D:$O,9,FALSE)),"")</f>
        <v/>
      </c>
      <c r="F101" s="94" t="str">
        <f>IFERROR(IF(VLOOKUP($A101,'Annex 2 EHV charges'!$D:$O,10,FALSE)=0,"",VLOOKUP($A101,'Annex 2 EHV charges'!$D:$O,10,FALSE)),"")</f>
        <v/>
      </c>
      <c r="G101" s="95" t="str">
        <f>IFERROR(IF(VLOOKUP($A101,'Annex 2 EHV charges'!$D:$O,11,FALSE)=0,"",VLOOKUP($A101,'Annex 2 EHV charges'!$D:$O,11,FALSE)),"")</f>
        <v/>
      </c>
      <c r="H101" s="95" t="str">
        <f>IFERROR(IF(VLOOKUP($A101,'Annex 2 EHV charges'!$D:$O,12,FALSE)=0,"",VLOOKUP($A101,'Annex 2 EHV charges'!$D:$O,12,FALSE)),"")</f>
        <v/>
      </c>
    </row>
    <row r="102" spans="1:8" ht="12.75" customHeight="1" x14ac:dyDescent="0.2">
      <c r="A102" s="92" t="str">
        <f t="array" ref="A102">IFERROR(INDEX('Annex 2 EHV charges'!$D$10:$D$259, MATCH(0, IF(ISBLANK('Annex 2 EHV charges'!$D$10:$D$259),1, COUNTIF(A$4:$A101, 'Annex 2 EHV charges'!$D$10:$D$259)), 0)),"")</f>
        <v/>
      </c>
      <c r="B102" s="91" t="str">
        <f>IF($A102="","",VLOOKUP($A102,'Annex 2 EHV charges'!$D:$O,2,0))</f>
        <v/>
      </c>
      <c r="C102" s="92" t="str">
        <f>IF($A102="","",VLOOKUP($A102,'Annex 2 EHV charges'!$D:$O,3,0))</f>
        <v/>
      </c>
      <c r="D102" s="91" t="str">
        <f>IF($A102="","",VLOOKUP($A102,'Annex 2 EHV charges'!$D:$O,4,0))</f>
        <v/>
      </c>
      <c r="E102" s="93" t="str">
        <f>IFERROR(IF(VLOOKUP($A102,'Annex 2 EHV charges'!$D:$O,9,FALSE)=0,"",VLOOKUP($A102,'Annex 2 EHV charges'!$D:$O,9,FALSE)),"")</f>
        <v/>
      </c>
      <c r="F102" s="94" t="str">
        <f>IFERROR(IF(VLOOKUP($A102,'Annex 2 EHV charges'!$D:$O,10,FALSE)=0,"",VLOOKUP($A102,'Annex 2 EHV charges'!$D:$O,10,FALSE)),"")</f>
        <v/>
      </c>
      <c r="G102" s="95" t="str">
        <f>IFERROR(IF(VLOOKUP($A102,'Annex 2 EHV charges'!$D:$O,11,FALSE)=0,"",VLOOKUP($A102,'Annex 2 EHV charges'!$D:$O,11,FALSE)),"")</f>
        <v/>
      </c>
      <c r="H102" s="95" t="str">
        <f>IFERROR(IF(VLOOKUP($A102,'Annex 2 EHV charges'!$D:$O,12,FALSE)=0,"",VLOOKUP($A102,'Annex 2 EHV charges'!$D:$O,12,FALSE)),"")</f>
        <v/>
      </c>
    </row>
    <row r="103" spans="1:8" ht="12.75" customHeight="1" x14ac:dyDescent="0.2">
      <c r="A103" s="92" t="str">
        <f t="array" ref="A103">IFERROR(INDEX('Annex 2 EHV charges'!$D$10:$D$259, MATCH(0, IF(ISBLANK('Annex 2 EHV charges'!$D$10:$D$259),1, COUNTIF(A$4:$A102, 'Annex 2 EHV charges'!$D$10:$D$259)), 0)),"")</f>
        <v/>
      </c>
      <c r="B103" s="91" t="str">
        <f>IF($A103="","",VLOOKUP($A103,'Annex 2 EHV charges'!$D:$O,2,0))</f>
        <v/>
      </c>
      <c r="C103" s="92" t="str">
        <f>IF($A103="","",VLOOKUP($A103,'Annex 2 EHV charges'!$D:$O,3,0))</f>
        <v/>
      </c>
      <c r="D103" s="91" t="str">
        <f>IF($A103="","",VLOOKUP($A103,'Annex 2 EHV charges'!$D:$O,4,0))</f>
        <v/>
      </c>
      <c r="E103" s="93" t="str">
        <f>IFERROR(IF(VLOOKUP($A103,'Annex 2 EHV charges'!$D:$O,9,FALSE)=0,"",VLOOKUP($A103,'Annex 2 EHV charges'!$D:$O,9,FALSE)),"")</f>
        <v/>
      </c>
      <c r="F103" s="94" t="str">
        <f>IFERROR(IF(VLOOKUP($A103,'Annex 2 EHV charges'!$D:$O,10,FALSE)=0,"",VLOOKUP($A103,'Annex 2 EHV charges'!$D:$O,10,FALSE)),"")</f>
        <v/>
      </c>
      <c r="G103" s="95" t="str">
        <f>IFERROR(IF(VLOOKUP($A103,'Annex 2 EHV charges'!$D:$O,11,FALSE)=0,"",VLOOKUP($A103,'Annex 2 EHV charges'!$D:$O,11,FALSE)),"")</f>
        <v/>
      </c>
      <c r="H103" s="95" t="str">
        <f>IFERROR(IF(VLOOKUP($A103,'Annex 2 EHV charges'!$D:$O,12,FALSE)=0,"",VLOOKUP($A103,'Annex 2 EHV charges'!$D:$O,12,FALSE)),"")</f>
        <v/>
      </c>
    </row>
    <row r="104" spans="1:8" ht="12.75" customHeight="1" x14ac:dyDescent="0.2">
      <c r="A104" s="92" t="str">
        <f t="array" ref="A104">IFERROR(INDEX('Annex 2 EHV charges'!$D$10:$D$259, MATCH(0, IF(ISBLANK('Annex 2 EHV charges'!$D$10:$D$259),1, COUNTIF(A$4:$A103, 'Annex 2 EHV charges'!$D$10:$D$259)), 0)),"")</f>
        <v/>
      </c>
      <c r="B104" s="91" t="str">
        <f>IF($A104="","",VLOOKUP($A104,'Annex 2 EHV charges'!$D:$O,2,0))</f>
        <v/>
      </c>
      <c r="C104" s="92" t="str">
        <f>IF($A104="","",VLOOKUP($A104,'Annex 2 EHV charges'!$D:$O,3,0))</f>
        <v/>
      </c>
      <c r="D104" s="91" t="str">
        <f>IF($A104="","",VLOOKUP($A104,'Annex 2 EHV charges'!$D:$O,4,0))</f>
        <v/>
      </c>
      <c r="E104" s="93" t="str">
        <f>IFERROR(IF(VLOOKUP($A104,'Annex 2 EHV charges'!$D:$O,9,FALSE)=0,"",VLOOKUP($A104,'Annex 2 EHV charges'!$D:$O,9,FALSE)),"")</f>
        <v/>
      </c>
      <c r="F104" s="94" t="str">
        <f>IFERROR(IF(VLOOKUP($A104,'Annex 2 EHV charges'!$D:$O,10,FALSE)=0,"",VLOOKUP($A104,'Annex 2 EHV charges'!$D:$O,10,FALSE)),"")</f>
        <v/>
      </c>
      <c r="G104" s="95" t="str">
        <f>IFERROR(IF(VLOOKUP($A104,'Annex 2 EHV charges'!$D:$O,11,FALSE)=0,"",VLOOKUP($A104,'Annex 2 EHV charges'!$D:$O,11,FALSE)),"")</f>
        <v/>
      </c>
      <c r="H104" s="95" t="str">
        <f>IFERROR(IF(VLOOKUP($A104,'Annex 2 EHV charges'!$D:$O,12,FALSE)=0,"",VLOOKUP($A104,'Annex 2 EHV charges'!$D:$O,12,FALSE)),"")</f>
        <v/>
      </c>
    </row>
    <row r="105" spans="1:8" ht="12.75" customHeight="1" x14ac:dyDescent="0.2">
      <c r="A105" s="92" t="str">
        <f t="array" ref="A105">IFERROR(INDEX('Annex 2 EHV charges'!$D$10:$D$259, MATCH(0, IF(ISBLANK('Annex 2 EHV charges'!$D$10:$D$259),1, COUNTIF(A$4:$A104, 'Annex 2 EHV charges'!$D$10:$D$259)), 0)),"")</f>
        <v/>
      </c>
      <c r="B105" s="91" t="str">
        <f>IF($A105="","",VLOOKUP($A105,'Annex 2 EHV charges'!$D:$O,2,0))</f>
        <v/>
      </c>
      <c r="C105" s="92" t="str">
        <f>IF($A105="","",VLOOKUP($A105,'Annex 2 EHV charges'!$D:$O,3,0))</f>
        <v/>
      </c>
      <c r="D105" s="91" t="str">
        <f>IF($A105="","",VLOOKUP($A105,'Annex 2 EHV charges'!$D:$O,4,0))</f>
        <v/>
      </c>
      <c r="E105" s="93" t="str">
        <f>IFERROR(IF(VLOOKUP($A105,'Annex 2 EHV charges'!$D:$O,9,FALSE)=0,"",VLOOKUP($A105,'Annex 2 EHV charges'!$D:$O,9,FALSE)),"")</f>
        <v/>
      </c>
      <c r="F105" s="94" t="str">
        <f>IFERROR(IF(VLOOKUP($A105,'Annex 2 EHV charges'!$D:$O,10,FALSE)=0,"",VLOOKUP($A105,'Annex 2 EHV charges'!$D:$O,10,FALSE)),"")</f>
        <v/>
      </c>
      <c r="G105" s="95" t="str">
        <f>IFERROR(IF(VLOOKUP($A105,'Annex 2 EHV charges'!$D:$O,11,FALSE)=0,"",VLOOKUP($A105,'Annex 2 EHV charges'!$D:$O,11,FALSE)),"")</f>
        <v/>
      </c>
      <c r="H105" s="95" t="str">
        <f>IFERROR(IF(VLOOKUP($A105,'Annex 2 EHV charges'!$D:$O,12,FALSE)=0,"",VLOOKUP($A105,'Annex 2 EHV charges'!$D:$O,12,FALSE)),"")</f>
        <v/>
      </c>
    </row>
    <row r="106" spans="1:8" ht="12.75" customHeight="1" x14ac:dyDescent="0.2">
      <c r="A106" s="92" t="str">
        <f t="array" ref="A106">IFERROR(INDEX('Annex 2 EHV charges'!$D$10:$D$259, MATCH(0, IF(ISBLANK('Annex 2 EHV charges'!$D$10:$D$259),1, COUNTIF(A$4:$A105, 'Annex 2 EHV charges'!$D$10:$D$259)), 0)),"")</f>
        <v/>
      </c>
      <c r="B106" s="91" t="str">
        <f>IF($A106="","",VLOOKUP($A106,'Annex 2 EHV charges'!$D:$O,2,0))</f>
        <v/>
      </c>
      <c r="C106" s="92" t="str">
        <f>IF($A106="","",VLOOKUP($A106,'Annex 2 EHV charges'!$D:$O,3,0))</f>
        <v/>
      </c>
      <c r="D106" s="91" t="str">
        <f>IF($A106="","",VLOOKUP($A106,'Annex 2 EHV charges'!$D:$O,4,0))</f>
        <v/>
      </c>
      <c r="E106" s="93" t="str">
        <f>IFERROR(IF(VLOOKUP($A106,'Annex 2 EHV charges'!$D:$O,9,FALSE)=0,"",VLOOKUP($A106,'Annex 2 EHV charges'!$D:$O,9,FALSE)),"")</f>
        <v/>
      </c>
      <c r="F106" s="94" t="str">
        <f>IFERROR(IF(VLOOKUP($A106,'Annex 2 EHV charges'!$D:$O,10,FALSE)=0,"",VLOOKUP($A106,'Annex 2 EHV charges'!$D:$O,10,FALSE)),"")</f>
        <v/>
      </c>
      <c r="G106" s="95" t="str">
        <f>IFERROR(IF(VLOOKUP($A106,'Annex 2 EHV charges'!$D:$O,11,FALSE)=0,"",VLOOKUP($A106,'Annex 2 EHV charges'!$D:$O,11,FALSE)),"")</f>
        <v/>
      </c>
      <c r="H106" s="95" t="str">
        <f>IFERROR(IF(VLOOKUP($A106,'Annex 2 EHV charges'!$D:$O,12,FALSE)=0,"",VLOOKUP($A106,'Annex 2 EHV charges'!$D:$O,12,FALSE)),"")</f>
        <v/>
      </c>
    </row>
    <row r="107" spans="1:8" ht="12.75" customHeight="1" x14ac:dyDescent="0.2">
      <c r="A107" s="92" t="str">
        <f t="array" ref="A107">IFERROR(INDEX('Annex 2 EHV charges'!$D$10:$D$259, MATCH(0, IF(ISBLANK('Annex 2 EHV charges'!$D$10:$D$259),1, COUNTIF(A$4:$A106, 'Annex 2 EHV charges'!$D$10:$D$259)), 0)),"")</f>
        <v/>
      </c>
      <c r="B107" s="91" t="str">
        <f>IF($A107="","",VLOOKUP($A107,'Annex 2 EHV charges'!$D:$O,2,0))</f>
        <v/>
      </c>
      <c r="C107" s="92" t="str">
        <f>IF($A107="","",VLOOKUP($A107,'Annex 2 EHV charges'!$D:$O,3,0))</f>
        <v/>
      </c>
      <c r="D107" s="91" t="str">
        <f>IF($A107="","",VLOOKUP($A107,'Annex 2 EHV charges'!$D:$O,4,0))</f>
        <v/>
      </c>
      <c r="E107" s="93" t="str">
        <f>IFERROR(IF(VLOOKUP($A107,'Annex 2 EHV charges'!$D:$O,9,FALSE)=0,"",VLOOKUP($A107,'Annex 2 EHV charges'!$D:$O,9,FALSE)),"")</f>
        <v/>
      </c>
      <c r="F107" s="94" t="str">
        <f>IFERROR(IF(VLOOKUP($A107,'Annex 2 EHV charges'!$D:$O,10,FALSE)=0,"",VLOOKUP($A107,'Annex 2 EHV charges'!$D:$O,10,FALSE)),"")</f>
        <v/>
      </c>
      <c r="G107" s="95" t="str">
        <f>IFERROR(IF(VLOOKUP($A107,'Annex 2 EHV charges'!$D:$O,11,FALSE)=0,"",VLOOKUP($A107,'Annex 2 EHV charges'!$D:$O,11,FALSE)),"")</f>
        <v/>
      </c>
      <c r="H107" s="95" t="str">
        <f>IFERROR(IF(VLOOKUP($A107,'Annex 2 EHV charges'!$D:$O,12,FALSE)=0,"",VLOOKUP($A107,'Annex 2 EHV charges'!$D:$O,12,FALSE)),"")</f>
        <v/>
      </c>
    </row>
    <row r="108" spans="1:8" ht="12.75" customHeight="1" x14ac:dyDescent="0.2">
      <c r="A108" s="92" t="str">
        <f t="array" ref="A108">IFERROR(INDEX('Annex 2 EHV charges'!$D$10:$D$259, MATCH(0, IF(ISBLANK('Annex 2 EHV charges'!$D$10:$D$259),1, COUNTIF(A$4:$A107, 'Annex 2 EHV charges'!$D$10:$D$259)), 0)),"")</f>
        <v/>
      </c>
      <c r="B108" s="91" t="str">
        <f>IF($A108="","",VLOOKUP($A108,'Annex 2 EHV charges'!$D:$O,2,0))</f>
        <v/>
      </c>
      <c r="C108" s="92" t="str">
        <f>IF($A108="","",VLOOKUP($A108,'Annex 2 EHV charges'!$D:$O,3,0))</f>
        <v/>
      </c>
      <c r="D108" s="91" t="str">
        <f>IF($A108="","",VLOOKUP($A108,'Annex 2 EHV charges'!$D:$O,4,0))</f>
        <v/>
      </c>
      <c r="E108" s="93" t="str">
        <f>IFERROR(IF(VLOOKUP($A108,'Annex 2 EHV charges'!$D:$O,9,FALSE)=0,"",VLOOKUP($A108,'Annex 2 EHV charges'!$D:$O,9,FALSE)),"")</f>
        <v/>
      </c>
      <c r="F108" s="94" t="str">
        <f>IFERROR(IF(VLOOKUP($A108,'Annex 2 EHV charges'!$D:$O,10,FALSE)=0,"",VLOOKUP($A108,'Annex 2 EHV charges'!$D:$O,10,FALSE)),"")</f>
        <v/>
      </c>
      <c r="G108" s="95" t="str">
        <f>IFERROR(IF(VLOOKUP($A108,'Annex 2 EHV charges'!$D:$O,11,FALSE)=0,"",VLOOKUP($A108,'Annex 2 EHV charges'!$D:$O,11,FALSE)),"")</f>
        <v/>
      </c>
      <c r="H108" s="95" t="str">
        <f>IFERROR(IF(VLOOKUP($A108,'Annex 2 EHV charges'!$D:$O,12,FALSE)=0,"",VLOOKUP($A108,'Annex 2 EHV charges'!$D:$O,12,FALSE)),"")</f>
        <v/>
      </c>
    </row>
    <row r="109" spans="1:8" ht="12.75" customHeight="1" x14ac:dyDescent="0.2">
      <c r="A109" s="92" t="str">
        <f t="array" ref="A109">IFERROR(INDEX('Annex 2 EHV charges'!$D$10:$D$259, MATCH(0, IF(ISBLANK('Annex 2 EHV charges'!$D$10:$D$259),1, COUNTIF(A$4:$A108, 'Annex 2 EHV charges'!$D$10:$D$259)), 0)),"")</f>
        <v/>
      </c>
      <c r="B109" s="91" t="str">
        <f>IF($A109="","",VLOOKUP($A109,'Annex 2 EHV charges'!$D:$O,2,0))</f>
        <v/>
      </c>
      <c r="C109" s="92" t="str">
        <f>IF($A109="","",VLOOKUP($A109,'Annex 2 EHV charges'!$D:$O,3,0))</f>
        <v/>
      </c>
      <c r="D109" s="91" t="str">
        <f>IF($A109="","",VLOOKUP($A109,'Annex 2 EHV charges'!$D:$O,4,0))</f>
        <v/>
      </c>
      <c r="E109" s="93" t="str">
        <f>IFERROR(IF(VLOOKUP($A109,'Annex 2 EHV charges'!$D:$O,9,FALSE)=0,"",VLOOKUP($A109,'Annex 2 EHV charges'!$D:$O,9,FALSE)),"")</f>
        <v/>
      </c>
      <c r="F109" s="94" t="str">
        <f>IFERROR(IF(VLOOKUP($A109,'Annex 2 EHV charges'!$D:$O,10,FALSE)=0,"",VLOOKUP($A109,'Annex 2 EHV charges'!$D:$O,10,FALSE)),"")</f>
        <v/>
      </c>
      <c r="G109" s="95" t="str">
        <f>IFERROR(IF(VLOOKUP($A109,'Annex 2 EHV charges'!$D:$O,11,FALSE)=0,"",VLOOKUP($A109,'Annex 2 EHV charges'!$D:$O,11,FALSE)),"")</f>
        <v/>
      </c>
      <c r="H109" s="95" t="str">
        <f>IFERROR(IF(VLOOKUP($A109,'Annex 2 EHV charges'!$D:$O,12,FALSE)=0,"",VLOOKUP($A109,'Annex 2 EHV charges'!$D:$O,12,FALSE)),"")</f>
        <v/>
      </c>
    </row>
    <row r="110" spans="1:8" ht="12.75" customHeight="1" x14ac:dyDescent="0.2">
      <c r="A110" s="92" t="str">
        <f t="array" ref="A110">IFERROR(INDEX('Annex 2 EHV charges'!$D$10:$D$259, MATCH(0, IF(ISBLANK('Annex 2 EHV charges'!$D$10:$D$259),1, COUNTIF(A$4:$A109, 'Annex 2 EHV charges'!$D$10:$D$259)), 0)),"")</f>
        <v/>
      </c>
      <c r="B110" s="91" t="str">
        <f>IF($A110="","",VLOOKUP($A110,'Annex 2 EHV charges'!$D:$O,2,0))</f>
        <v/>
      </c>
      <c r="C110" s="92" t="str">
        <f>IF($A110="","",VLOOKUP($A110,'Annex 2 EHV charges'!$D:$O,3,0))</f>
        <v/>
      </c>
      <c r="D110" s="91" t="str">
        <f>IF($A110="","",VLOOKUP($A110,'Annex 2 EHV charges'!$D:$O,4,0))</f>
        <v/>
      </c>
      <c r="E110" s="93" t="str">
        <f>IFERROR(IF(VLOOKUP($A110,'Annex 2 EHV charges'!$D:$O,9,FALSE)=0,"",VLOOKUP($A110,'Annex 2 EHV charges'!$D:$O,9,FALSE)),"")</f>
        <v/>
      </c>
      <c r="F110" s="94" t="str">
        <f>IFERROR(IF(VLOOKUP($A110,'Annex 2 EHV charges'!$D:$O,10,FALSE)=0,"",VLOOKUP($A110,'Annex 2 EHV charges'!$D:$O,10,FALSE)),"")</f>
        <v/>
      </c>
      <c r="G110" s="95" t="str">
        <f>IFERROR(IF(VLOOKUP($A110,'Annex 2 EHV charges'!$D:$O,11,FALSE)=0,"",VLOOKUP($A110,'Annex 2 EHV charges'!$D:$O,11,FALSE)),"")</f>
        <v/>
      </c>
      <c r="H110" s="95" t="str">
        <f>IFERROR(IF(VLOOKUP($A110,'Annex 2 EHV charges'!$D:$O,12,FALSE)=0,"",VLOOKUP($A110,'Annex 2 EHV charges'!$D:$O,12,FALSE)),"")</f>
        <v/>
      </c>
    </row>
    <row r="111" spans="1:8" ht="12.75" customHeight="1" x14ac:dyDescent="0.2">
      <c r="A111" s="92" t="str">
        <f t="array" ref="A111">IFERROR(INDEX('Annex 2 EHV charges'!$D$10:$D$259, MATCH(0, IF(ISBLANK('Annex 2 EHV charges'!$D$10:$D$259),1, COUNTIF(A$4:$A110, 'Annex 2 EHV charges'!$D$10:$D$259)), 0)),"")</f>
        <v/>
      </c>
      <c r="B111" s="91" t="str">
        <f>IF($A111="","",VLOOKUP($A111,'Annex 2 EHV charges'!$D:$O,2,0))</f>
        <v/>
      </c>
      <c r="C111" s="92" t="str">
        <f>IF($A111="","",VLOOKUP($A111,'Annex 2 EHV charges'!$D:$O,3,0))</f>
        <v/>
      </c>
      <c r="D111" s="91" t="str">
        <f>IF($A111="","",VLOOKUP($A111,'Annex 2 EHV charges'!$D:$O,4,0))</f>
        <v/>
      </c>
      <c r="E111" s="93" t="str">
        <f>IFERROR(IF(VLOOKUP($A111,'Annex 2 EHV charges'!$D:$O,9,FALSE)=0,"",VLOOKUP($A111,'Annex 2 EHV charges'!$D:$O,9,FALSE)),"")</f>
        <v/>
      </c>
      <c r="F111" s="94" t="str">
        <f>IFERROR(IF(VLOOKUP($A111,'Annex 2 EHV charges'!$D:$O,10,FALSE)=0,"",VLOOKUP($A111,'Annex 2 EHV charges'!$D:$O,10,FALSE)),"")</f>
        <v/>
      </c>
      <c r="G111" s="95" t="str">
        <f>IFERROR(IF(VLOOKUP($A111,'Annex 2 EHV charges'!$D:$O,11,FALSE)=0,"",VLOOKUP($A111,'Annex 2 EHV charges'!$D:$O,11,FALSE)),"")</f>
        <v/>
      </c>
      <c r="H111" s="95" t="str">
        <f>IFERROR(IF(VLOOKUP($A111,'Annex 2 EHV charges'!$D:$O,12,FALSE)=0,"",VLOOKUP($A111,'Annex 2 EHV charges'!$D:$O,12,FALSE)),"")</f>
        <v/>
      </c>
    </row>
    <row r="112" spans="1:8" ht="12.75" customHeight="1" x14ac:dyDescent="0.2">
      <c r="A112" s="92" t="str">
        <f t="array" ref="A112">IFERROR(INDEX('Annex 2 EHV charges'!$D$10:$D$259, MATCH(0, IF(ISBLANK('Annex 2 EHV charges'!$D$10:$D$259),1, COUNTIF(A$4:$A111, 'Annex 2 EHV charges'!$D$10:$D$259)), 0)),"")</f>
        <v/>
      </c>
      <c r="B112" s="91" t="str">
        <f>IF($A112="","",VLOOKUP($A112,'Annex 2 EHV charges'!$D:$O,2,0))</f>
        <v/>
      </c>
      <c r="C112" s="92" t="str">
        <f>IF($A112="","",VLOOKUP($A112,'Annex 2 EHV charges'!$D:$O,3,0))</f>
        <v/>
      </c>
      <c r="D112" s="91" t="str">
        <f>IF($A112="","",VLOOKUP($A112,'Annex 2 EHV charges'!$D:$O,4,0))</f>
        <v/>
      </c>
      <c r="E112" s="93" t="str">
        <f>IFERROR(IF(VLOOKUP($A112,'Annex 2 EHV charges'!$D:$O,9,FALSE)=0,"",VLOOKUP($A112,'Annex 2 EHV charges'!$D:$O,9,FALSE)),"")</f>
        <v/>
      </c>
      <c r="F112" s="94" t="str">
        <f>IFERROR(IF(VLOOKUP($A112,'Annex 2 EHV charges'!$D:$O,10,FALSE)=0,"",VLOOKUP($A112,'Annex 2 EHV charges'!$D:$O,10,FALSE)),"")</f>
        <v/>
      </c>
      <c r="G112" s="95" t="str">
        <f>IFERROR(IF(VLOOKUP($A112,'Annex 2 EHV charges'!$D:$O,11,FALSE)=0,"",VLOOKUP($A112,'Annex 2 EHV charges'!$D:$O,11,FALSE)),"")</f>
        <v/>
      </c>
      <c r="H112" s="95" t="str">
        <f>IFERROR(IF(VLOOKUP($A112,'Annex 2 EHV charges'!$D:$O,12,FALSE)=0,"",VLOOKUP($A112,'Annex 2 EHV charges'!$D:$O,12,FALSE)),"")</f>
        <v/>
      </c>
    </row>
    <row r="113" spans="1:8" ht="12.75" customHeight="1" x14ac:dyDescent="0.2">
      <c r="A113" s="92" t="str">
        <f t="array" ref="A113">IFERROR(INDEX('Annex 2 EHV charges'!$D$10:$D$259, MATCH(0, IF(ISBLANK('Annex 2 EHV charges'!$D$10:$D$259),1, COUNTIF(A$4:$A112, 'Annex 2 EHV charges'!$D$10:$D$259)), 0)),"")</f>
        <v/>
      </c>
      <c r="B113" s="91" t="str">
        <f>IF($A113="","",VLOOKUP($A113,'Annex 2 EHV charges'!$D:$O,2,0))</f>
        <v/>
      </c>
      <c r="C113" s="92" t="str">
        <f>IF($A113="","",VLOOKUP($A113,'Annex 2 EHV charges'!$D:$O,3,0))</f>
        <v/>
      </c>
      <c r="D113" s="91" t="str">
        <f>IF($A113="","",VLOOKUP($A113,'Annex 2 EHV charges'!$D:$O,4,0))</f>
        <v/>
      </c>
      <c r="E113" s="93" t="str">
        <f>IFERROR(IF(VLOOKUP($A113,'Annex 2 EHV charges'!$D:$O,9,FALSE)=0,"",VLOOKUP($A113,'Annex 2 EHV charges'!$D:$O,9,FALSE)),"")</f>
        <v/>
      </c>
      <c r="F113" s="94" t="str">
        <f>IFERROR(IF(VLOOKUP($A113,'Annex 2 EHV charges'!$D:$O,10,FALSE)=0,"",VLOOKUP($A113,'Annex 2 EHV charges'!$D:$O,10,FALSE)),"")</f>
        <v/>
      </c>
      <c r="G113" s="95" t="str">
        <f>IFERROR(IF(VLOOKUP($A113,'Annex 2 EHV charges'!$D:$O,11,FALSE)=0,"",VLOOKUP($A113,'Annex 2 EHV charges'!$D:$O,11,FALSE)),"")</f>
        <v/>
      </c>
      <c r="H113" s="95" t="str">
        <f>IFERROR(IF(VLOOKUP($A113,'Annex 2 EHV charges'!$D:$O,12,FALSE)=0,"",VLOOKUP($A113,'Annex 2 EHV charges'!$D:$O,12,FALSE)),"")</f>
        <v/>
      </c>
    </row>
    <row r="114" spans="1:8" ht="12.75" customHeight="1" x14ac:dyDescent="0.2">
      <c r="A114" s="92" t="str">
        <f t="array" ref="A114">IFERROR(INDEX('Annex 2 EHV charges'!$D$10:$D$259, MATCH(0, IF(ISBLANK('Annex 2 EHV charges'!$D$10:$D$259),1, COUNTIF(A$4:$A113, 'Annex 2 EHV charges'!$D$10:$D$259)), 0)),"")</f>
        <v/>
      </c>
      <c r="B114" s="91" t="str">
        <f>IF($A114="","",VLOOKUP($A114,'Annex 2 EHV charges'!$D:$O,2,0))</f>
        <v/>
      </c>
      <c r="C114" s="92" t="str">
        <f>IF($A114="","",VLOOKUP($A114,'Annex 2 EHV charges'!$D:$O,3,0))</f>
        <v/>
      </c>
      <c r="D114" s="91" t="str">
        <f>IF($A114="","",VLOOKUP($A114,'Annex 2 EHV charges'!$D:$O,4,0))</f>
        <v/>
      </c>
      <c r="E114" s="93" t="str">
        <f>IFERROR(IF(VLOOKUP($A114,'Annex 2 EHV charges'!$D:$O,9,FALSE)=0,"",VLOOKUP($A114,'Annex 2 EHV charges'!$D:$O,9,FALSE)),"")</f>
        <v/>
      </c>
      <c r="F114" s="94" t="str">
        <f>IFERROR(IF(VLOOKUP($A114,'Annex 2 EHV charges'!$D:$O,10,FALSE)=0,"",VLOOKUP($A114,'Annex 2 EHV charges'!$D:$O,10,FALSE)),"")</f>
        <v/>
      </c>
      <c r="G114" s="95" t="str">
        <f>IFERROR(IF(VLOOKUP($A114,'Annex 2 EHV charges'!$D:$O,11,FALSE)=0,"",VLOOKUP($A114,'Annex 2 EHV charges'!$D:$O,11,FALSE)),"")</f>
        <v/>
      </c>
      <c r="H114" s="95" t="str">
        <f>IFERROR(IF(VLOOKUP($A114,'Annex 2 EHV charges'!$D:$O,12,FALSE)=0,"",VLOOKUP($A114,'Annex 2 EHV charges'!$D:$O,12,FALSE)),"")</f>
        <v/>
      </c>
    </row>
    <row r="115" spans="1:8" ht="12.75" customHeight="1" x14ac:dyDescent="0.2">
      <c r="A115" s="92" t="str">
        <f t="array" ref="A115">IFERROR(INDEX('Annex 2 EHV charges'!$D$10:$D$259, MATCH(0, IF(ISBLANK('Annex 2 EHV charges'!$D$10:$D$259),1, COUNTIF(A$4:$A114, 'Annex 2 EHV charges'!$D$10:$D$259)), 0)),"")</f>
        <v/>
      </c>
      <c r="B115" s="91" t="str">
        <f>IF($A115="","",VLOOKUP($A115,'Annex 2 EHV charges'!$D:$O,2,0))</f>
        <v/>
      </c>
      <c r="C115" s="92" t="str">
        <f>IF($A115="","",VLOOKUP($A115,'Annex 2 EHV charges'!$D:$O,3,0))</f>
        <v/>
      </c>
      <c r="D115" s="91" t="str">
        <f>IF($A115="","",VLOOKUP($A115,'Annex 2 EHV charges'!$D:$O,4,0))</f>
        <v/>
      </c>
      <c r="E115" s="93" t="str">
        <f>IFERROR(IF(VLOOKUP($A115,'Annex 2 EHV charges'!$D:$O,9,FALSE)=0,"",VLOOKUP($A115,'Annex 2 EHV charges'!$D:$O,9,FALSE)),"")</f>
        <v/>
      </c>
      <c r="F115" s="94" t="str">
        <f>IFERROR(IF(VLOOKUP($A115,'Annex 2 EHV charges'!$D:$O,10,FALSE)=0,"",VLOOKUP($A115,'Annex 2 EHV charges'!$D:$O,10,FALSE)),"")</f>
        <v/>
      </c>
      <c r="G115" s="95" t="str">
        <f>IFERROR(IF(VLOOKUP($A115,'Annex 2 EHV charges'!$D:$O,11,FALSE)=0,"",VLOOKUP($A115,'Annex 2 EHV charges'!$D:$O,11,FALSE)),"")</f>
        <v/>
      </c>
      <c r="H115" s="95" t="str">
        <f>IFERROR(IF(VLOOKUP($A115,'Annex 2 EHV charges'!$D:$O,12,FALSE)=0,"",VLOOKUP($A115,'Annex 2 EHV charges'!$D:$O,12,FALSE)),"")</f>
        <v/>
      </c>
    </row>
    <row r="116" spans="1:8" ht="12.75" customHeight="1" x14ac:dyDescent="0.2">
      <c r="A116" s="92" t="str">
        <f t="array" ref="A116">IFERROR(INDEX('Annex 2 EHV charges'!$D$10:$D$259, MATCH(0, IF(ISBLANK('Annex 2 EHV charges'!$D$10:$D$259),1, COUNTIF(A$4:$A115, 'Annex 2 EHV charges'!$D$10:$D$259)), 0)),"")</f>
        <v/>
      </c>
      <c r="B116" s="91" t="str">
        <f>IF($A116="","",VLOOKUP($A116,'Annex 2 EHV charges'!$D:$O,2,0))</f>
        <v/>
      </c>
      <c r="C116" s="92" t="str">
        <f>IF($A116="","",VLOOKUP($A116,'Annex 2 EHV charges'!$D:$O,3,0))</f>
        <v/>
      </c>
      <c r="D116" s="91" t="str">
        <f>IF($A116="","",VLOOKUP($A116,'Annex 2 EHV charges'!$D:$O,4,0))</f>
        <v/>
      </c>
      <c r="E116" s="93" t="str">
        <f>IFERROR(IF(VLOOKUP($A116,'Annex 2 EHV charges'!$D:$O,9,FALSE)=0,"",VLOOKUP($A116,'Annex 2 EHV charges'!$D:$O,9,FALSE)),"")</f>
        <v/>
      </c>
      <c r="F116" s="94" t="str">
        <f>IFERROR(IF(VLOOKUP($A116,'Annex 2 EHV charges'!$D:$O,10,FALSE)=0,"",VLOOKUP($A116,'Annex 2 EHV charges'!$D:$O,10,FALSE)),"")</f>
        <v/>
      </c>
      <c r="G116" s="95" t="str">
        <f>IFERROR(IF(VLOOKUP($A116,'Annex 2 EHV charges'!$D:$O,11,FALSE)=0,"",VLOOKUP($A116,'Annex 2 EHV charges'!$D:$O,11,FALSE)),"")</f>
        <v/>
      </c>
      <c r="H116" s="95" t="str">
        <f>IFERROR(IF(VLOOKUP($A116,'Annex 2 EHV charges'!$D:$O,12,FALSE)=0,"",VLOOKUP($A116,'Annex 2 EHV charges'!$D:$O,12,FALSE)),"")</f>
        <v/>
      </c>
    </row>
    <row r="117" spans="1:8" ht="12.75" customHeight="1" x14ac:dyDescent="0.2">
      <c r="A117" s="92" t="str">
        <f t="array" ref="A117">IFERROR(INDEX('Annex 2 EHV charges'!$D$10:$D$259, MATCH(0, IF(ISBLANK('Annex 2 EHV charges'!$D$10:$D$259),1, COUNTIF(A$4:$A116, 'Annex 2 EHV charges'!$D$10:$D$259)), 0)),"")</f>
        <v/>
      </c>
      <c r="B117" s="91" t="str">
        <f>IF($A117="","",VLOOKUP($A117,'Annex 2 EHV charges'!$D:$O,2,0))</f>
        <v/>
      </c>
      <c r="C117" s="92" t="str">
        <f>IF($A117="","",VLOOKUP($A117,'Annex 2 EHV charges'!$D:$O,3,0))</f>
        <v/>
      </c>
      <c r="D117" s="91" t="str">
        <f>IF($A117="","",VLOOKUP($A117,'Annex 2 EHV charges'!$D:$O,4,0))</f>
        <v/>
      </c>
      <c r="E117" s="93" t="str">
        <f>IFERROR(IF(VLOOKUP($A117,'Annex 2 EHV charges'!$D:$O,9,FALSE)=0,"",VLOOKUP($A117,'Annex 2 EHV charges'!$D:$O,9,FALSE)),"")</f>
        <v/>
      </c>
      <c r="F117" s="94" t="str">
        <f>IFERROR(IF(VLOOKUP($A117,'Annex 2 EHV charges'!$D:$O,10,FALSE)=0,"",VLOOKUP($A117,'Annex 2 EHV charges'!$D:$O,10,FALSE)),"")</f>
        <v/>
      </c>
      <c r="G117" s="95" t="str">
        <f>IFERROR(IF(VLOOKUP($A117,'Annex 2 EHV charges'!$D:$O,11,FALSE)=0,"",VLOOKUP($A117,'Annex 2 EHV charges'!$D:$O,11,FALSE)),"")</f>
        <v/>
      </c>
      <c r="H117" s="95" t="str">
        <f>IFERROR(IF(VLOOKUP($A117,'Annex 2 EHV charges'!$D:$O,12,FALSE)=0,"",VLOOKUP($A117,'Annex 2 EHV charges'!$D:$O,12,FALSE)),"")</f>
        <v/>
      </c>
    </row>
    <row r="118" spans="1:8" ht="12.75" customHeight="1" x14ac:dyDescent="0.2">
      <c r="A118" s="92" t="str">
        <f t="array" ref="A118">IFERROR(INDEX('Annex 2 EHV charges'!$D$10:$D$259, MATCH(0, IF(ISBLANK('Annex 2 EHV charges'!$D$10:$D$259),1, COUNTIF(A$4:$A117, 'Annex 2 EHV charges'!$D$10:$D$259)), 0)),"")</f>
        <v/>
      </c>
      <c r="B118" s="91" t="str">
        <f>IF($A118="","",VLOOKUP($A118,'Annex 2 EHV charges'!$D:$O,2,0))</f>
        <v/>
      </c>
      <c r="C118" s="92" t="str">
        <f>IF($A118="","",VLOOKUP($A118,'Annex 2 EHV charges'!$D:$O,3,0))</f>
        <v/>
      </c>
      <c r="D118" s="91" t="str">
        <f>IF($A118="","",VLOOKUP($A118,'Annex 2 EHV charges'!$D:$O,4,0))</f>
        <v/>
      </c>
      <c r="E118" s="93" t="str">
        <f>IFERROR(IF(VLOOKUP($A118,'Annex 2 EHV charges'!$D:$O,9,FALSE)=0,"",VLOOKUP($A118,'Annex 2 EHV charges'!$D:$O,9,FALSE)),"")</f>
        <v/>
      </c>
      <c r="F118" s="94" t="str">
        <f>IFERROR(IF(VLOOKUP($A118,'Annex 2 EHV charges'!$D:$O,10,FALSE)=0,"",VLOOKUP($A118,'Annex 2 EHV charges'!$D:$O,10,FALSE)),"")</f>
        <v/>
      </c>
      <c r="G118" s="95" t="str">
        <f>IFERROR(IF(VLOOKUP($A118,'Annex 2 EHV charges'!$D:$O,11,FALSE)=0,"",VLOOKUP($A118,'Annex 2 EHV charges'!$D:$O,11,FALSE)),"")</f>
        <v/>
      </c>
      <c r="H118" s="95" t="str">
        <f>IFERROR(IF(VLOOKUP($A118,'Annex 2 EHV charges'!$D:$O,12,FALSE)=0,"",VLOOKUP($A118,'Annex 2 EHV charges'!$D:$O,12,FALSE)),"")</f>
        <v/>
      </c>
    </row>
    <row r="119" spans="1:8" ht="12.75" customHeight="1" x14ac:dyDescent="0.2">
      <c r="A119" s="92" t="str">
        <f t="array" ref="A119">IFERROR(INDEX('Annex 2 EHV charges'!$D$10:$D$259, MATCH(0, IF(ISBLANK('Annex 2 EHV charges'!$D$10:$D$259),1, COUNTIF(A$4:$A118, 'Annex 2 EHV charges'!$D$10:$D$259)), 0)),"")</f>
        <v/>
      </c>
      <c r="B119" s="91" t="str">
        <f>IF($A119="","",VLOOKUP($A119,'Annex 2 EHV charges'!$D:$O,2,0))</f>
        <v/>
      </c>
      <c r="C119" s="92" t="str">
        <f>IF($A119="","",VLOOKUP($A119,'Annex 2 EHV charges'!$D:$O,3,0))</f>
        <v/>
      </c>
      <c r="D119" s="91" t="str">
        <f>IF($A119="","",VLOOKUP($A119,'Annex 2 EHV charges'!$D:$O,4,0))</f>
        <v/>
      </c>
      <c r="E119" s="93" t="str">
        <f>IFERROR(IF(VLOOKUP($A119,'Annex 2 EHV charges'!$D:$O,9,FALSE)=0,"",VLOOKUP($A119,'Annex 2 EHV charges'!$D:$O,9,FALSE)),"")</f>
        <v/>
      </c>
      <c r="F119" s="94" t="str">
        <f>IFERROR(IF(VLOOKUP($A119,'Annex 2 EHV charges'!$D:$O,10,FALSE)=0,"",VLOOKUP($A119,'Annex 2 EHV charges'!$D:$O,10,FALSE)),"")</f>
        <v/>
      </c>
      <c r="G119" s="95" t="str">
        <f>IFERROR(IF(VLOOKUP($A119,'Annex 2 EHV charges'!$D:$O,11,FALSE)=0,"",VLOOKUP($A119,'Annex 2 EHV charges'!$D:$O,11,FALSE)),"")</f>
        <v/>
      </c>
      <c r="H119" s="95" t="str">
        <f>IFERROR(IF(VLOOKUP($A119,'Annex 2 EHV charges'!$D:$O,12,FALSE)=0,"",VLOOKUP($A119,'Annex 2 EHV charges'!$D:$O,12,FALSE)),"")</f>
        <v/>
      </c>
    </row>
    <row r="120" spans="1:8" ht="12.75" customHeight="1" x14ac:dyDescent="0.2">
      <c r="A120" s="92" t="str">
        <f t="array" ref="A120">IFERROR(INDEX('Annex 2 EHV charges'!$D$10:$D$259, MATCH(0, IF(ISBLANK('Annex 2 EHV charges'!$D$10:$D$259),1, COUNTIF(A$4:$A119, 'Annex 2 EHV charges'!$D$10:$D$259)), 0)),"")</f>
        <v/>
      </c>
      <c r="B120" s="91" t="str">
        <f>IF($A120="","",VLOOKUP($A120,'Annex 2 EHV charges'!$D:$O,2,0))</f>
        <v/>
      </c>
      <c r="C120" s="92" t="str">
        <f>IF($A120="","",VLOOKUP($A120,'Annex 2 EHV charges'!$D:$O,3,0))</f>
        <v/>
      </c>
      <c r="D120" s="91" t="str">
        <f>IF($A120="","",VLOOKUP($A120,'Annex 2 EHV charges'!$D:$O,4,0))</f>
        <v/>
      </c>
      <c r="E120" s="93" t="str">
        <f>IFERROR(IF(VLOOKUP($A120,'Annex 2 EHV charges'!$D:$O,9,FALSE)=0,"",VLOOKUP($A120,'Annex 2 EHV charges'!$D:$O,9,FALSE)),"")</f>
        <v/>
      </c>
      <c r="F120" s="94" t="str">
        <f>IFERROR(IF(VLOOKUP($A120,'Annex 2 EHV charges'!$D:$O,10,FALSE)=0,"",VLOOKUP($A120,'Annex 2 EHV charges'!$D:$O,10,FALSE)),"")</f>
        <v/>
      </c>
      <c r="G120" s="95" t="str">
        <f>IFERROR(IF(VLOOKUP($A120,'Annex 2 EHV charges'!$D:$O,11,FALSE)=0,"",VLOOKUP($A120,'Annex 2 EHV charges'!$D:$O,11,FALSE)),"")</f>
        <v/>
      </c>
      <c r="H120" s="95" t="str">
        <f>IFERROR(IF(VLOOKUP($A120,'Annex 2 EHV charges'!$D:$O,12,FALSE)=0,"",VLOOKUP($A120,'Annex 2 EHV charges'!$D:$O,12,FALSE)),"")</f>
        <v/>
      </c>
    </row>
    <row r="121" spans="1:8" ht="12.75" customHeight="1" x14ac:dyDescent="0.2">
      <c r="A121" s="92" t="str">
        <f t="array" ref="A121">IFERROR(INDEX('Annex 2 EHV charges'!$D$10:$D$259, MATCH(0, IF(ISBLANK('Annex 2 EHV charges'!$D$10:$D$259),1, COUNTIF(A$4:$A120, 'Annex 2 EHV charges'!$D$10:$D$259)), 0)),"")</f>
        <v/>
      </c>
      <c r="B121" s="91" t="str">
        <f>IF($A121="","",VLOOKUP($A121,'Annex 2 EHV charges'!$D:$O,2,0))</f>
        <v/>
      </c>
      <c r="C121" s="92" t="str">
        <f>IF($A121="","",VLOOKUP($A121,'Annex 2 EHV charges'!$D:$O,3,0))</f>
        <v/>
      </c>
      <c r="D121" s="91" t="str">
        <f>IF($A121="","",VLOOKUP($A121,'Annex 2 EHV charges'!$D:$O,4,0))</f>
        <v/>
      </c>
      <c r="E121" s="93" t="str">
        <f>IFERROR(IF(VLOOKUP($A121,'Annex 2 EHV charges'!$D:$O,9,FALSE)=0,"",VLOOKUP($A121,'Annex 2 EHV charges'!$D:$O,9,FALSE)),"")</f>
        <v/>
      </c>
      <c r="F121" s="94" t="str">
        <f>IFERROR(IF(VLOOKUP($A121,'Annex 2 EHV charges'!$D:$O,10,FALSE)=0,"",VLOOKUP($A121,'Annex 2 EHV charges'!$D:$O,10,FALSE)),"")</f>
        <v/>
      </c>
      <c r="G121" s="95" t="str">
        <f>IFERROR(IF(VLOOKUP($A121,'Annex 2 EHV charges'!$D:$O,11,FALSE)=0,"",VLOOKUP($A121,'Annex 2 EHV charges'!$D:$O,11,FALSE)),"")</f>
        <v/>
      </c>
      <c r="H121" s="95" t="str">
        <f>IFERROR(IF(VLOOKUP($A121,'Annex 2 EHV charges'!$D:$O,12,FALSE)=0,"",VLOOKUP($A121,'Annex 2 EHV charges'!$D:$O,12,FALSE)),"")</f>
        <v/>
      </c>
    </row>
    <row r="122" spans="1:8" ht="12.75" customHeight="1" x14ac:dyDescent="0.2">
      <c r="A122" s="92" t="str">
        <f t="array" ref="A122">IFERROR(INDEX('Annex 2 EHV charges'!$D$10:$D$259, MATCH(0, IF(ISBLANK('Annex 2 EHV charges'!$D$10:$D$259),1, COUNTIF(A$4:$A121, 'Annex 2 EHV charges'!$D$10:$D$259)), 0)),"")</f>
        <v/>
      </c>
      <c r="B122" s="91" t="str">
        <f>IF($A122="","",VLOOKUP($A122,'Annex 2 EHV charges'!$D:$O,2,0))</f>
        <v/>
      </c>
      <c r="C122" s="92" t="str">
        <f>IF($A122="","",VLOOKUP($A122,'Annex 2 EHV charges'!$D:$O,3,0))</f>
        <v/>
      </c>
      <c r="D122" s="91" t="str">
        <f>IF($A122="","",VLOOKUP($A122,'Annex 2 EHV charges'!$D:$O,4,0))</f>
        <v/>
      </c>
      <c r="E122" s="93" t="str">
        <f>IFERROR(IF(VLOOKUP($A122,'Annex 2 EHV charges'!$D:$O,9,FALSE)=0,"",VLOOKUP($A122,'Annex 2 EHV charges'!$D:$O,9,FALSE)),"")</f>
        <v/>
      </c>
      <c r="F122" s="94" t="str">
        <f>IFERROR(IF(VLOOKUP($A122,'Annex 2 EHV charges'!$D:$O,10,FALSE)=0,"",VLOOKUP($A122,'Annex 2 EHV charges'!$D:$O,10,FALSE)),"")</f>
        <v/>
      </c>
      <c r="G122" s="95" t="str">
        <f>IFERROR(IF(VLOOKUP($A122,'Annex 2 EHV charges'!$D:$O,11,FALSE)=0,"",VLOOKUP($A122,'Annex 2 EHV charges'!$D:$O,11,FALSE)),"")</f>
        <v/>
      </c>
      <c r="H122" s="95" t="str">
        <f>IFERROR(IF(VLOOKUP($A122,'Annex 2 EHV charges'!$D:$O,12,FALSE)=0,"",VLOOKUP($A122,'Annex 2 EHV charges'!$D:$O,12,FALSE)),"")</f>
        <v/>
      </c>
    </row>
    <row r="123" spans="1:8" ht="12.75" customHeight="1" x14ac:dyDescent="0.2">
      <c r="A123" s="92" t="str">
        <f t="array" ref="A123">IFERROR(INDEX('Annex 2 EHV charges'!$D$10:$D$259, MATCH(0, IF(ISBLANK('Annex 2 EHV charges'!$D$10:$D$259),1, COUNTIF(A$4:$A122, 'Annex 2 EHV charges'!$D$10:$D$259)), 0)),"")</f>
        <v/>
      </c>
      <c r="B123" s="91" t="str">
        <f>IF($A123="","",VLOOKUP($A123,'Annex 2 EHV charges'!$D:$O,2,0))</f>
        <v/>
      </c>
      <c r="C123" s="92" t="str">
        <f>IF($A123="","",VLOOKUP($A123,'Annex 2 EHV charges'!$D:$O,3,0))</f>
        <v/>
      </c>
      <c r="D123" s="91" t="str">
        <f>IF($A123="","",VLOOKUP($A123,'Annex 2 EHV charges'!$D:$O,4,0))</f>
        <v/>
      </c>
      <c r="E123" s="93" t="str">
        <f>IFERROR(IF(VLOOKUP($A123,'Annex 2 EHV charges'!$D:$O,9,FALSE)=0,"",VLOOKUP($A123,'Annex 2 EHV charges'!$D:$O,9,FALSE)),"")</f>
        <v/>
      </c>
      <c r="F123" s="94" t="str">
        <f>IFERROR(IF(VLOOKUP($A123,'Annex 2 EHV charges'!$D:$O,10,FALSE)=0,"",VLOOKUP($A123,'Annex 2 EHV charges'!$D:$O,10,FALSE)),"")</f>
        <v/>
      </c>
      <c r="G123" s="95" t="str">
        <f>IFERROR(IF(VLOOKUP($A123,'Annex 2 EHV charges'!$D:$O,11,FALSE)=0,"",VLOOKUP($A123,'Annex 2 EHV charges'!$D:$O,11,FALSE)),"")</f>
        <v/>
      </c>
      <c r="H123" s="95" t="str">
        <f>IFERROR(IF(VLOOKUP($A123,'Annex 2 EHV charges'!$D:$O,12,FALSE)=0,"",VLOOKUP($A123,'Annex 2 EHV charges'!$D:$O,12,FALSE)),"")</f>
        <v/>
      </c>
    </row>
    <row r="124" spans="1:8" ht="12.75" customHeight="1" x14ac:dyDescent="0.2">
      <c r="A124" s="92" t="str">
        <f t="array" ref="A124">IFERROR(INDEX('Annex 2 EHV charges'!$D$10:$D$259, MATCH(0, IF(ISBLANK('Annex 2 EHV charges'!$D$10:$D$259),1, COUNTIF(A$4:$A123, 'Annex 2 EHV charges'!$D$10:$D$259)), 0)),"")</f>
        <v/>
      </c>
      <c r="B124" s="91" t="str">
        <f>IF($A124="","",VLOOKUP($A124,'Annex 2 EHV charges'!$D:$O,2,0))</f>
        <v/>
      </c>
      <c r="C124" s="92" t="str">
        <f>IF($A124="","",VLOOKUP($A124,'Annex 2 EHV charges'!$D:$O,3,0))</f>
        <v/>
      </c>
      <c r="D124" s="91" t="str">
        <f>IF($A124="","",VLOOKUP($A124,'Annex 2 EHV charges'!$D:$O,4,0))</f>
        <v/>
      </c>
      <c r="E124" s="93" t="str">
        <f>IFERROR(IF(VLOOKUP($A124,'Annex 2 EHV charges'!$D:$O,9,FALSE)=0,"",VLOOKUP($A124,'Annex 2 EHV charges'!$D:$O,9,FALSE)),"")</f>
        <v/>
      </c>
      <c r="F124" s="94" t="str">
        <f>IFERROR(IF(VLOOKUP($A124,'Annex 2 EHV charges'!$D:$O,10,FALSE)=0,"",VLOOKUP($A124,'Annex 2 EHV charges'!$D:$O,10,FALSE)),"")</f>
        <v/>
      </c>
      <c r="G124" s="95" t="str">
        <f>IFERROR(IF(VLOOKUP($A124,'Annex 2 EHV charges'!$D:$O,11,FALSE)=0,"",VLOOKUP($A124,'Annex 2 EHV charges'!$D:$O,11,FALSE)),"")</f>
        <v/>
      </c>
      <c r="H124" s="95" t="str">
        <f>IFERROR(IF(VLOOKUP($A124,'Annex 2 EHV charges'!$D:$O,12,FALSE)=0,"",VLOOKUP($A124,'Annex 2 EHV charges'!$D:$O,12,FALSE)),"")</f>
        <v/>
      </c>
    </row>
    <row r="125" spans="1:8" ht="12.75" customHeight="1" x14ac:dyDescent="0.2">
      <c r="A125" s="92" t="str">
        <f t="array" ref="A125">IFERROR(INDEX('Annex 2 EHV charges'!$D$10:$D$259, MATCH(0, IF(ISBLANK('Annex 2 EHV charges'!$D$10:$D$259),1, COUNTIF(A$4:$A124, 'Annex 2 EHV charges'!$D$10:$D$259)), 0)),"")</f>
        <v/>
      </c>
      <c r="B125" s="91" t="str">
        <f>IF($A125="","",VLOOKUP($A125,'Annex 2 EHV charges'!$D:$O,2,0))</f>
        <v/>
      </c>
      <c r="C125" s="92" t="str">
        <f>IF($A125="","",VLOOKUP($A125,'Annex 2 EHV charges'!$D:$O,3,0))</f>
        <v/>
      </c>
      <c r="D125" s="91" t="str">
        <f>IF($A125="","",VLOOKUP($A125,'Annex 2 EHV charges'!$D:$O,4,0))</f>
        <v/>
      </c>
      <c r="E125" s="93" t="str">
        <f>IFERROR(IF(VLOOKUP($A125,'Annex 2 EHV charges'!$D:$O,9,FALSE)=0,"",VLOOKUP($A125,'Annex 2 EHV charges'!$D:$O,9,FALSE)),"")</f>
        <v/>
      </c>
      <c r="F125" s="94" t="str">
        <f>IFERROR(IF(VLOOKUP($A125,'Annex 2 EHV charges'!$D:$O,10,FALSE)=0,"",VLOOKUP($A125,'Annex 2 EHV charges'!$D:$O,10,FALSE)),"")</f>
        <v/>
      </c>
      <c r="G125" s="95" t="str">
        <f>IFERROR(IF(VLOOKUP($A125,'Annex 2 EHV charges'!$D:$O,11,FALSE)=0,"",VLOOKUP($A125,'Annex 2 EHV charges'!$D:$O,11,FALSE)),"")</f>
        <v/>
      </c>
      <c r="H125" s="95" t="str">
        <f>IFERROR(IF(VLOOKUP($A125,'Annex 2 EHV charges'!$D:$O,12,FALSE)=0,"",VLOOKUP($A125,'Annex 2 EHV charges'!$D:$O,12,FALSE)),"")</f>
        <v/>
      </c>
    </row>
    <row r="126" spans="1:8" ht="12.75" customHeight="1" x14ac:dyDescent="0.2">
      <c r="A126" s="92" t="str">
        <f t="array" ref="A126">IFERROR(INDEX('Annex 2 EHV charges'!$D$10:$D$259, MATCH(0, IF(ISBLANK('Annex 2 EHV charges'!$D$10:$D$259),1, COUNTIF(A$4:$A125, 'Annex 2 EHV charges'!$D$10:$D$259)), 0)),"")</f>
        <v/>
      </c>
      <c r="B126" s="91" t="str">
        <f>IF($A126="","",VLOOKUP($A126,'Annex 2 EHV charges'!$D:$O,2,0))</f>
        <v/>
      </c>
      <c r="C126" s="92" t="str">
        <f>IF($A126="","",VLOOKUP($A126,'Annex 2 EHV charges'!$D:$O,3,0))</f>
        <v/>
      </c>
      <c r="D126" s="91" t="str">
        <f>IF($A126="","",VLOOKUP($A126,'Annex 2 EHV charges'!$D:$O,4,0))</f>
        <v/>
      </c>
      <c r="E126" s="93" t="str">
        <f>IFERROR(IF(VLOOKUP($A126,'Annex 2 EHV charges'!$D:$O,9,FALSE)=0,"",VLOOKUP($A126,'Annex 2 EHV charges'!$D:$O,9,FALSE)),"")</f>
        <v/>
      </c>
      <c r="F126" s="94" t="str">
        <f>IFERROR(IF(VLOOKUP($A126,'Annex 2 EHV charges'!$D:$O,10,FALSE)=0,"",VLOOKUP($A126,'Annex 2 EHV charges'!$D:$O,10,FALSE)),"")</f>
        <v/>
      </c>
      <c r="G126" s="95" t="str">
        <f>IFERROR(IF(VLOOKUP($A126,'Annex 2 EHV charges'!$D:$O,11,FALSE)=0,"",VLOOKUP($A126,'Annex 2 EHV charges'!$D:$O,11,FALSE)),"")</f>
        <v/>
      </c>
      <c r="H126" s="95" t="str">
        <f>IFERROR(IF(VLOOKUP($A126,'Annex 2 EHV charges'!$D:$O,12,FALSE)=0,"",VLOOKUP($A126,'Annex 2 EHV charges'!$D:$O,12,FALSE)),"")</f>
        <v/>
      </c>
    </row>
    <row r="127" spans="1:8" ht="12.75" customHeight="1" x14ac:dyDescent="0.2">
      <c r="A127" s="92" t="str">
        <f t="array" ref="A127">IFERROR(INDEX('Annex 2 EHV charges'!$D$10:$D$259, MATCH(0, IF(ISBLANK('Annex 2 EHV charges'!$D$10:$D$259),1, COUNTIF(A$4:$A126, 'Annex 2 EHV charges'!$D$10:$D$259)), 0)),"")</f>
        <v/>
      </c>
      <c r="B127" s="91" t="str">
        <f>IF($A127="","",VLOOKUP($A127,'Annex 2 EHV charges'!$D:$O,2,0))</f>
        <v/>
      </c>
      <c r="C127" s="92" t="str">
        <f>IF($A127="","",VLOOKUP($A127,'Annex 2 EHV charges'!$D:$O,3,0))</f>
        <v/>
      </c>
      <c r="D127" s="91" t="str">
        <f>IF($A127="","",VLOOKUP($A127,'Annex 2 EHV charges'!$D:$O,4,0))</f>
        <v/>
      </c>
      <c r="E127" s="93" t="str">
        <f>IFERROR(IF(VLOOKUP($A127,'Annex 2 EHV charges'!$D:$O,9,FALSE)=0,"",VLOOKUP($A127,'Annex 2 EHV charges'!$D:$O,9,FALSE)),"")</f>
        <v/>
      </c>
      <c r="F127" s="94" t="str">
        <f>IFERROR(IF(VLOOKUP($A127,'Annex 2 EHV charges'!$D:$O,10,FALSE)=0,"",VLOOKUP($A127,'Annex 2 EHV charges'!$D:$O,10,FALSE)),"")</f>
        <v/>
      </c>
      <c r="G127" s="95" t="str">
        <f>IFERROR(IF(VLOOKUP($A127,'Annex 2 EHV charges'!$D:$O,11,FALSE)=0,"",VLOOKUP($A127,'Annex 2 EHV charges'!$D:$O,11,FALSE)),"")</f>
        <v/>
      </c>
      <c r="H127" s="95" t="str">
        <f>IFERROR(IF(VLOOKUP($A127,'Annex 2 EHV charges'!$D:$O,12,FALSE)=0,"",VLOOKUP($A127,'Annex 2 EHV charges'!$D:$O,12,FALSE)),"")</f>
        <v/>
      </c>
    </row>
    <row r="128" spans="1:8" ht="12.75" customHeight="1" x14ac:dyDescent="0.2">
      <c r="A128" s="92" t="str">
        <f t="array" ref="A128">IFERROR(INDEX('Annex 2 EHV charges'!$D$10:$D$259, MATCH(0, IF(ISBLANK('Annex 2 EHV charges'!$D$10:$D$259),1, COUNTIF(A$4:$A127, 'Annex 2 EHV charges'!$D$10:$D$259)), 0)),"")</f>
        <v/>
      </c>
      <c r="B128" s="91" t="str">
        <f>IF($A128="","",VLOOKUP($A128,'Annex 2 EHV charges'!$D:$O,2,0))</f>
        <v/>
      </c>
      <c r="C128" s="92" t="str">
        <f>IF($A128="","",VLOOKUP($A128,'Annex 2 EHV charges'!$D:$O,3,0))</f>
        <v/>
      </c>
      <c r="D128" s="91" t="str">
        <f>IF($A128="","",VLOOKUP($A128,'Annex 2 EHV charges'!$D:$O,4,0))</f>
        <v/>
      </c>
      <c r="E128" s="93" t="str">
        <f>IFERROR(IF(VLOOKUP($A128,'Annex 2 EHV charges'!$D:$O,9,FALSE)=0,"",VLOOKUP($A128,'Annex 2 EHV charges'!$D:$O,9,FALSE)),"")</f>
        <v/>
      </c>
      <c r="F128" s="94" t="str">
        <f>IFERROR(IF(VLOOKUP($A128,'Annex 2 EHV charges'!$D:$O,10,FALSE)=0,"",VLOOKUP($A128,'Annex 2 EHV charges'!$D:$O,10,FALSE)),"")</f>
        <v/>
      </c>
      <c r="G128" s="95" t="str">
        <f>IFERROR(IF(VLOOKUP($A128,'Annex 2 EHV charges'!$D:$O,11,FALSE)=0,"",VLOOKUP($A128,'Annex 2 EHV charges'!$D:$O,11,FALSE)),"")</f>
        <v/>
      </c>
      <c r="H128" s="95" t="str">
        <f>IFERROR(IF(VLOOKUP($A128,'Annex 2 EHV charges'!$D:$O,12,FALSE)=0,"",VLOOKUP($A128,'Annex 2 EHV charges'!$D:$O,12,FALSE)),"")</f>
        <v/>
      </c>
    </row>
    <row r="129" spans="1:8" ht="12.75" customHeight="1" x14ac:dyDescent="0.2">
      <c r="A129" s="92" t="str">
        <f t="array" ref="A129">IFERROR(INDEX('Annex 2 EHV charges'!$D$10:$D$259, MATCH(0, IF(ISBLANK('Annex 2 EHV charges'!$D$10:$D$259),1, COUNTIF(A$4:$A128, 'Annex 2 EHV charges'!$D$10:$D$259)), 0)),"")</f>
        <v/>
      </c>
      <c r="B129" s="91" t="str">
        <f>IF($A129="","",VLOOKUP($A129,'Annex 2 EHV charges'!$D:$O,2,0))</f>
        <v/>
      </c>
      <c r="C129" s="92" t="str">
        <f>IF($A129="","",VLOOKUP($A129,'Annex 2 EHV charges'!$D:$O,3,0))</f>
        <v/>
      </c>
      <c r="D129" s="91" t="str">
        <f>IF($A129="","",VLOOKUP($A129,'Annex 2 EHV charges'!$D:$O,4,0))</f>
        <v/>
      </c>
      <c r="E129" s="93" t="str">
        <f>IFERROR(IF(VLOOKUP($A129,'Annex 2 EHV charges'!$D:$O,9,FALSE)=0,"",VLOOKUP($A129,'Annex 2 EHV charges'!$D:$O,9,FALSE)),"")</f>
        <v/>
      </c>
      <c r="F129" s="94" t="str">
        <f>IFERROR(IF(VLOOKUP($A129,'Annex 2 EHV charges'!$D:$O,10,FALSE)=0,"",VLOOKUP($A129,'Annex 2 EHV charges'!$D:$O,10,FALSE)),"")</f>
        <v/>
      </c>
      <c r="G129" s="95" t="str">
        <f>IFERROR(IF(VLOOKUP($A129,'Annex 2 EHV charges'!$D:$O,11,FALSE)=0,"",VLOOKUP($A129,'Annex 2 EHV charges'!$D:$O,11,FALSE)),"")</f>
        <v/>
      </c>
      <c r="H129" s="95" t="str">
        <f>IFERROR(IF(VLOOKUP($A129,'Annex 2 EHV charges'!$D:$O,12,FALSE)=0,"",VLOOKUP($A129,'Annex 2 EHV charges'!$D:$O,12,FALSE)),"")</f>
        <v/>
      </c>
    </row>
    <row r="130" spans="1:8" ht="12.75" customHeight="1" x14ac:dyDescent="0.2">
      <c r="A130" s="92" t="str">
        <f t="array" ref="A130">IFERROR(INDEX('Annex 2 EHV charges'!$D$10:$D$259, MATCH(0, IF(ISBLANK('Annex 2 EHV charges'!$D$10:$D$259),1, COUNTIF(A$4:$A129, 'Annex 2 EHV charges'!$D$10:$D$259)), 0)),"")</f>
        <v/>
      </c>
      <c r="B130" s="91" t="str">
        <f>IF($A130="","",VLOOKUP($A130,'Annex 2 EHV charges'!$D:$O,2,0))</f>
        <v/>
      </c>
      <c r="C130" s="92" t="str">
        <f>IF($A130="","",VLOOKUP($A130,'Annex 2 EHV charges'!$D:$O,3,0))</f>
        <v/>
      </c>
      <c r="D130" s="91" t="str">
        <f>IF($A130="","",VLOOKUP($A130,'Annex 2 EHV charges'!$D:$O,4,0))</f>
        <v/>
      </c>
      <c r="E130" s="93" t="str">
        <f>IFERROR(IF(VLOOKUP($A130,'Annex 2 EHV charges'!$D:$O,9,FALSE)=0,"",VLOOKUP($A130,'Annex 2 EHV charges'!$D:$O,9,FALSE)),"")</f>
        <v/>
      </c>
      <c r="F130" s="94" t="str">
        <f>IFERROR(IF(VLOOKUP($A130,'Annex 2 EHV charges'!$D:$O,10,FALSE)=0,"",VLOOKUP($A130,'Annex 2 EHV charges'!$D:$O,10,FALSE)),"")</f>
        <v/>
      </c>
      <c r="G130" s="95" t="str">
        <f>IFERROR(IF(VLOOKUP($A130,'Annex 2 EHV charges'!$D:$O,11,FALSE)=0,"",VLOOKUP($A130,'Annex 2 EHV charges'!$D:$O,11,FALSE)),"")</f>
        <v/>
      </c>
      <c r="H130" s="95" t="str">
        <f>IFERROR(IF(VLOOKUP($A130,'Annex 2 EHV charges'!$D:$O,12,FALSE)=0,"",VLOOKUP($A130,'Annex 2 EHV charges'!$D:$O,12,FALSE)),"")</f>
        <v/>
      </c>
    </row>
    <row r="131" spans="1:8" ht="12.75" customHeight="1" x14ac:dyDescent="0.2">
      <c r="A131" s="92" t="str">
        <f t="array" ref="A131">IFERROR(INDEX('Annex 2 EHV charges'!$D$10:$D$259, MATCH(0, IF(ISBLANK('Annex 2 EHV charges'!$D$10:$D$259),1, COUNTIF(A$4:$A130, 'Annex 2 EHV charges'!$D$10:$D$259)), 0)),"")</f>
        <v/>
      </c>
      <c r="B131" s="91" t="str">
        <f>IF($A131="","",VLOOKUP($A131,'Annex 2 EHV charges'!$D:$O,2,0))</f>
        <v/>
      </c>
      <c r="C131" s="92" t="str">
        <f>IF($A131="","",VLOOKUP($A131,'Annex 2 EHV charges'!$D:$O,3,0))</f>
        <v/>
      </c>
      <c r="D131" s="91" t="str">
        <f>IF($A131="","",VLOOKUP($A131,'Annex 2 EHV charges'!$D:$O,4,0))</f>
        <v/>
      </c>
      <c r="E131" s="93" t="str">
        <f>IFERROR(IF(VLOOKUP($A131,'Annex 2 EHV charges'!$D:$O,9,FALSE)=0,"",VLOOKUP($A131,'Annex 2 EHV charges'!$D:$O,9,FALSE)),"")</f>
        <v/>
      </c>
      <c r="F131" s="94" t="str">
        <f>IFERROR(IF(VLOOKUP($A131,'Annex 2 EHV charges'!$D:$O,10,FALSE)=0,"",VLOOKUP($A131,'Annex 2 EHV charges'!$D:$O,10,FALSE)),"")</f>
        <v/>
      </c>
      <c r="G131" s="95" t="str">
        <f>IFERROR(IF(VLOOKUP($A131,'Annex 2 EHV charges'!$D:$O,11,FALSE)=0,"",VLOOKUP($A131,'Annex 2 EHV charges'!$D:$O,11,FALSE)),"")</f>
        <v/>
      </c>
      <c r="H131" s="95" t="str">
        <f>IFERROR(IF(VLOOKUP($A131,'Annex 2 EHV charges'!$D:$O,12,FALSE)=0,"",VLOOKUP($A131,'Annex 2 EHV charges'!$D:$O,12,FALSE)),"")</f>
        <v/>
      </c>
    </row>
    <row r="132" spans="1:8" ht="12.75" customHeight="1" x14ac:dyDescent="0.2">
      <c r="A132" s="92" t="str">
        <f t="array" ref="A132">IFERROR(INDEX('Annex 2 EHV charges'!$D$10:$D$259, MATCH(0, IF(ISBLANK('Annex 2 EHV charges'!$D$10:$D$259),1, COUNTIF(A$4:$A131, 'Annex 2 EHV charges'!$D$10:$D$259)), 0)),"")</f>
        <v/>
      </c>
      <c r="B132" s="91" t="str">
        <f>IF($A132="","",VLOOKUP($A132,'Annex 2 EHV charges'!$D:$O,2,0))</f>
        <v/>
      </c>
      <c r="C132" s="92" t="str">
        <f>IF($A132="","",VLOOKUP($A132,'Annex 2 EHV charges'!$D:$O,3,0))</f>
        <v/>
      </c>
      <c r="D132" s="91" t="str">
        <f>IF($A132="","",VLOOKUP($A132,'Annex 2 EHV charges'!$D:$O,4,0))</f>
        <v/>
      </c>
      <c r="E132" s="93" t="str">
        <f>IFERROR(IF(VLOOKUP($A132,'Annex 2 EHV charges'!$D:$O,9,FALSE)=0,"",VLOOKUP($A132,'Annex 2 EHV charges'!$D:$O,9,FALSE)),"")</f>
        <v/>
      </c>
      <c r="F132" s="94" t="str">
        <f>IFERROR(IF(VLOOKUP($A132,'Annex 2 EHV charges'!$D:$O,10,FALSE)=0,"",VLOOKUP($A132,'Annex 2 EHV charges'!$D:$O,10,FALSE)),"")</f>
        <v/>
      </c>
      <c r="G132" s="95" t="str">
        <f>IFERROR(IF(VLOOKUP($A132,'Annex 2 EHV charges'!$D:$O,11,FALSE)=0,"",VLOOKUP($A132,'Annex 2 EHV charges'!$D:$O,11,FALSE)),"")</f>
        <v/>
      </c>
      <c r="H132" s="95" t="str">
        <f>IFERROR(IF(VLOOKUP($A132,'Annex 2 EHV charges'!$D:$O,12,FALSE)=0,"",VLOOKUP($A132,'Annex 2 EHV charges'!$D:$O,12,FALSE)),"")</f>
        <v/>
      </c>
    </row>
    <row r="133" spans="1:8" ht="12.75" customHeight="1" x14ac:dyDescent="0.2">
      <c r="A133" s="92" t="str">
        <f t="array" ref="A133">IFERROR(INDEX('Annex 2 EHV charges'!$D$10:$D$259, MATCH(0, IF(ISBLANK('Annex 2 EHV charges'!$D$10:$D$259),1, COUNTIF(A$4:$A132, 'Annex 2 EHV charges'!$D$10:$D$259)), 0)),"")</f>
        <v/>
      </c>
      <c r="B133" s="91" t="str">
        <f>IF($A133="","",VLOOKUP($A133,'Annex 2 EHV charges'!$D:$O,2,0))</f>
        <v/>
      </c>
      <c r="C133" s="92" t="str">
        <f>IF($A133="","",VLOOKUP($A133,'Annex 2 EHV charges'!$D:$O,3,0))</f>
        <v/>
      </c>
      <c r="D133" s="91" t="str">
        <f>IF($A133="","",VLOOKUP($A133,'Annex 2 EHV charges'!$D:$O,4,0))</f>
        <v/>
      </c>
      <c r="E133" s="93" t="str">
        <f>IFERROR(IF(VLOOKUP($A133,'Annex 2 EHV charges'!$D:$O,9,FALSE)=0,"",VLOOKUP($A133,'Annex 2 EHV charges'!$D:$O,9,FALSE)),"")</f>
        <v/>
      </c>
      <c r="F133" s="94" t="str">
        <f>IFERROR(IF(VLOOKUP($A133,'Annex 2 EHV charges'!$D:$O,10,FALSE)=0,"",VLOOKUP($A133,'Annex 2 EHV charges'!$D:$O,10,FALSE)),"")</f>
        <v/>
      </c>
      <c r="G133" s="95" t="str">
        <f>IFERROR(IF(VLOOKUP($A133,'Annex 2 EHV charges'!$D:$O,11,FALSE)=0,"",VLOOKUP($A133,'Annex 2 EHV charges'!$D:$O,11,FALSE)),"")</f>
        <v/>
      </c>
      <c r="H133" s="95" t="str">
        <f>IFERROR(IF(VLOOKUP($A133,'Annex 2 EHV charges'!$D:$O,12,FALSE)=0,"",VLOOKUP($A133,'Annex 2 EHV charges'!$D:$O,12,FALSE)),"")</f>
        <v/>
      </c>
    </row>
    <row r="134" spans="1:8" ht="12.75" customHeight="1" x14ac:dyDescent="0.2">
      <c r="A134" s="92" t="str">
        <f t="array" ref="A134">IFERROR(INDEX('Annex 2 EHV charges'!$D$10:$D$259, MATCH(0, IF(ISBLANK('Annex 2 EHV charges'!$D$10:$D$259),1, COUNTIF(A$4:$A133, 'Annex 2 EHV charges'!$D$10:$D$259)), 0)),"")</f>
        <v/>
      </c>
      <c r="B134" s="91" t="str">
        <f>IF($A134="","",VLOOKUP($A134,'Annex 2 EHV charges'!$D:$O,2,0))</f>
        <v/>
      </c>
      <c r="C134" s="92" t="str">
        <f>IF($A134="","",VLOOKUP($A134,'Annex 2 EHV charges'!$D:$O,3,0))</f>
        <v/>
      </c>
      <c r="D134" s="91" t="str">
        <f>IF($A134="","",VLOOKUP($A134,'Annex 2 EHV charges'!$D:$O,4,0))</f>
        <v/>
      </c>
      <c r="E134" s="93" t="str">
        <f>IFERROR(IF(VLOOKUP($A134,'Annex 2 EHV charges'!$D:$O,9,FALSE)=0,"",VLOOKUP($A134,'Annex 2 EHV charges'!$D:$O,9,FALSE)),"")</f>
        <v/>
      </c>
      <c r="F134" s="94" t="str">
        <f>IFERROR(IF(VLOOKUP($A134,'Annex 2 EHV charges'!$D:$O,10,FALSE)=0,"",VLOOKUP($A134,'Annex 2 EHV charges'!$D:$O,10,FALSE)),"")</f>
        <v/>
      </c>
      <c r="G134" s="95" t="str">
        <f>IFERROR(IF(VLOOKUP($A134,'Annex 2 EHV charges'!$D:$O,11,FALSE)=0,"",VLOOKUP($A134,'Annex 2 EHV charges'!$D:$O,11,FALSE)),"")</f>
        <v/>
      </c>
      <c r="H134" s="95" t="str">
        <f>IFERROR(IF(VLOOKUP($A134,'Annex 2 EHV charges'!$D:$O,12,FALSE)=0,"",VLOOKUP($A134,'Annex 2 EHV charges'!$D:$O,12,FALSE)),"")</f>
        <v/>
      </c>
    </row>
    <row r="135" spans="1:8" ht="12.75" customHeight="1" x14ac:dyDescent="0.2">
      <c r="A135" s="92" t="str">
        <f t="array" ref="A135">IFERROR(INDEX('Annex 2 EHV charges'!$D$10:$D$259, MATCH(0, IF(ISBLANK('Annex 2 EHV charges'!$D$10:$D$259),1, COUNTIF(A$4:$A134, 'Annex 2 EHV charges'!$D$10:$D$259)), 0)),"")</f>
        <v/>
      </c>
      <c r="B135" s="91" t="str">
        <f>IF($A135="","",VLOOKUP($A135,'Annex 2 EHV charges'!$D:$O,2,0))</f>
        <v/>
      </c>
      <c r="C135" s="92" t="str">
        <f>IF($A135="","",VLOOKUP($A135,'Annex 2 EHV charges'!$D:$O,3,0))</f>
        <v/>
      </c>
      <c r="D135" s="91" t="str">
        <f>IF($A135="","",VLOOKUP($A135,'Annex 2 EHV charges'!$D:$O,4,0))</f>
        <v/>
      </c>
      <c r="E135" s="93" t="str">
        <f>IFERROR(IF(VLOOKUP($A135,'Annex 2 EHV charges'!$D:$O,9,FALSE)=0,"",VLOOKUP($A135,'Annex 2 EHV charges'!$D:$O,9,FALSE)),"")</f>
        <v/>
      </c>
      <c r="F135" s="94" t="str">
        <f>IFERROR(IF(VLOOKUP($A135,'Annex 2 EHV charges'!$D:$O,10,FALSE)=0,"",VLOOKUP($A135,'Annex 2 EHV charges'!$D:$O,10,FALSE)),"")</f>
        <v/>
      </c>
      <c r="G135" s="95" t="str">
        <f>IFERROR(IF(VLOOKUP($A135,'Annex 2 EHV charges'!$D:$O,11,FALSE)=0,"",VLOOKUP($A135,'Annex 2 EHV charges'!$D:$O,11,FALSE)),"")</f>
        <v/>
      </c>
      <c r="H135" s="95" t="str">
        <f>IFERROR(IF(VLOOKUP($A135,'Annex 2 EHV charges'!$D:$O,12,FALSE)=0,"",VLOOKUP($A135,'Annex 2 EHV charges'!$D:$O,12,FALSE)),"")</f>
        <v/>
      </c>
    </row>
    <row r="136" spans="1:8" ht="12.75" customHeight="1" x14ac:dyDescent="0.2">
      <c r="A136" s="92" t="str">
        <f t="array" ref="A136">IFERROR(INDEX('Annex 2 EHV charges'!$D$10:$D$259, MATCH(0, IF(ISBLANK('Annex 2 EHV charges'!$D$10:$D$259),1, COUNTIF(A$4:$A135, 'Annex 2 EHV charges'!$D$10:$D$259)), 0)),"")</f>
        <v/>
      </c>
      <c r="B136" s="91" t="str">
        <f>IF($A136="","",VLOOKUP($A136,'Annex 2 EHV charges'!$D:$O,2,0))</f>
        <v/>
      </c>
      <c r="C136" s="92" t="str">
        <f>IF($A136="","",VLOOKUP($A136,'Annex 2 EHV charges'!$D:$O,3,0))</f>
        <v/>
      </c>
      <c r="D136" s="91" t="str">
        <f>IF($A136="","",VLOOKUP($A136,'Annex 2 EHV charges'!$D:$O,4,0))</f>
        <v/>
      </c>
      <c r="E136" s="93" t="str">
        <f>IFERROR(IF(VLOOKUP($A136,'Annex 2 EHV charges'!$D:$O,9,FALSE)=0,"",VLOOKUP($A136,'Annex 2 EHV charges'!$D:$O,9,FALSE)),"")</f>
        <v/>
      </c>
      <c r="F136" s="94" t="str">
        <f>IFERROR(IF(VLOOKUP($A136,'Annex 2 EHV charges'!$D:$O,10,FALSE)=0,"",VLOOKUP($A136,'Annex 2 EHV charges'!$D:$O,10,FALSE)),"")</f>
        <v/>
      </c>
      <c r="G136" s="95" t="str">
        <f>IFERROR(IF(VLOOKUP($A136,'Annex 2 EHV charges'!$D:$O,11,FALSE)=0,"",VLOOKUP($A136,'Annex 2 EHV charges'!$D:$O,11,FALSE)),"")</f>
        <v/>
      </c>
      <c r="H136" s="95" t="str">
        <f>IFERROR(IF(VLOOKUP($A136,'Annex 2 EHV charges'!$D:$O,12,FALSE)=0,"",VLOOKUP($A136,'Annex 2 EHV charges'!$D:$O,12,FALSE)),"")</f>
        <v/>
      </c>
    </row>
    <row r="137" spans="1:8" ht="12.75" customHeight="1" x14ac:dyDescent="0.2">
      <c r="A137" s="92" t="str">
        <f t="array" ref="A137">IFERROR(INDEX('Annex 2 EHV charges'!$D$10:$D$259, MATCH(0, IF(ISBLANK('Annex 2 EHV charges'!$D$10:$D$259),1, COUNTIF(A$4:$A136, 'Annex 2 EHV charges'!$D$10:$D$259)), 0)),"")</f>
        <v/>
      </c>
      <c r="B137" s="91" t="str">
        <f>IF($A137="","",VLOOKUP($A137,'Annex 2 EHV charges'!$D:$O,2,0))</f>
        <v/>
      </c>
      <c r="C137" s="92" t="str">
        <f>IF($A137="","",VLOOKUP($A137,'Annex 2 EHV charges'!$D:$O,3,0))</f>
        <v/>
      </c>
      <c r="D137" s="91" t="str">
        <f>IF($A137="","",VLOOKUP($A137,'Annex 2 EHV charges'!$D:$O,4,0))</f>
        <v/>
      </c>
      <c r="E137" s="93" t="str">
        <f>IFERROR(IF(VLOOKUP($A137,'Annex 2 EHV charges'!$D:$O,9,FALSE)=0,"",VLOOKUP($A137,'Annex 2 EHV charges'!$D:$O,9,FALSE)),"")</f>
        <v/>
      </c>
      <c r="F137" s="94" t="str">
        <f>IFERROR(IF(VLOOKUP($A137,'Annex 2 EHV charges'!$D:$O,10,FALSE)=0,"",VLOOKUP($A137,'Annex 2 EHV charges'!$D:$O,10,FALSE)),"")</f>
        <v/>
      </c>
      <c r="G137" s="95" t="str">
        <f>IFERROR(IF(VLOOKUP($A137,'Annex 2 EHV charges'!$D:$O,11,FALSE)=0,"",VLOOKUP($A137,'Annex 2 EHV charges'!$D:$O,11,FALSE)),"")</f>
        <v/>
      </c>
      <c r="H137" s="95" t="str">
        <f>IFERROR(IF(VLOOKUP($A137,'Annex 2 EHV charges'!$D:$O,12,FALSE)=0,"",VLOOKUP($A137,'Annex 2 EHV charges'!$D:$O,12,FALSE)),"")</f>
        <v/>
      </c>
    </row>
    <row r="138" spans="1:8" ht="12.75" customHeight="1" x14ac:dyDescent="0.2">
      <c r="A138" s="92" t="str">
        <f t="array" ref="A138">IFERROR(INDEX('Annex 2 EHV charges'!$D$10:$D$259, MATCH(0, IF(ISBLANK('Annex 2 EHV charges'!$D$10:$D$259),1, COUNTIF(A$4:$A137, 'Annex 2 EHV charges'!$D$10:$D$259)), 0)),"")</f>
        <v/>
      </c>
      <c r="B138" s="91" t="str">
        <f>IF($A138="","",VLOOKUP($A138,'Annex 2 EHV charges'!$D:$O,2,0))</f>
        <v/>
      </c>
      <c r="C138" s="92" t="str">
        <f>IF($A138="","",VLOOKUP($A138,'Annex 2 EHV charges'!$D:$O,3,0))</f>
        <v/>
      </c>
      <c r="D138" s="91" t="str">
        <f>IF($A138="","",VLOOKUP($A138,'Annex 2 EHV charges'!$D:$O,4,0))</f>
        <v/>
      </c>
      <c r="E138" s="93" t="str">
        <f>IFERROR(IF(VLOOKUP($A138,'Annex 2 EHV charges'!$D:$O,9,FALSE)=0,"",VLOOKUP($A138,'Annex 2 EHV charges'!$D:$O,9,FALSE)),"")</f>
        <v/>
      </c>
      <c r="F138" s="94" t="str">
        <f>IFERROR(IF(VLOOKUP($A138,'Annex 2 EHV charges'!$D:$O,10,FALSE)=0,"",VLOOKUP($A138,'Annex 2 EHV charges'!$D:$O,10,FALSE)),"")</f>
        <v/>
      </c>
      <c r="G138" s="95" t="str">
        <f>IFERROR(IF(VLOOKUP($A138,'Annex 2 EHV charges'!$D:$O,11,FALSE)=0,"",VLOOKUP($A138,'Annex 2 EHV charges'!$D:$O,11,FALSE)),"")</f>
        <v/>
      </c>
      <c r="H138" s="95" t="str">
        <f>IFERROR(IF(VLOOKUP($A138,'Annex 2 EHV charges'!$D:$O,12,FALSE)=0,"",VLOOKUP($A138,'Annex 2 EHV charges'!$D:$O,12,FALSE)),"")</f>
        <v/>
      </c>
    </row>
    <row r="139" spans="1:8" ht="12.75" customHeight="1" x14ac:dyDescent="0.2">
      <c r="A139" s="92" t="str">
        <f t="array" ref="A139">IFERROR(INDEX('Annex 2 EHV charges'!$D$10:$D$259, MATCH(0, IF(ISBLANK('Annex 2 EHV charges'!$D$10:$D$259),1, COUNTIF(A$4:$A138, 'Annex 2 EHV charges'!$D$10:$D$259)), 0)),"")</f>
        <v/>
      </c>
      <c r="B139" s="91" t="str">
        <f>IF($A139="","",VLOOKUP($A139,'Annex 2 EHV charges'!$D:$O,2,0))</f>
        <v/>
      </c>
      <c r="C139" s="92" t="str">
        <f>IF($A139="","",VLOOKUP($A139,'Annex 2 EHV charges'!$D:$O,3,0))</f>
        <v/>
      </c>
      <c r="D139" s="91" t="str">
        <f>IF($A139="","",VLOOKUP($A139,'Annex 2 EHV charges'!$D:$O,4,0))</f>
        <v/>
      </c>
      <c r="E139" s="93" t="str">
        <f>IFERROR(IF(VLOOKUP($A139,'Annex 2 EHV charges'!$D:$O,9,FALSE)=0,"",VLOOKUP($A139,'Annex 2 EHV charges'!$D:$O,9,FALSE)),"")</f>
        <v/>
      </c>
      <c r="F139" s="94" t="str">
        <f>IFERROR(IF(VLOOKUP($A139,'Annex 2 EHV charges'!$D:$O,10,FALSE)=0,"",VLOOKUP($A139,'Annex 2 EHV charges'!$D:$O,10,FALSE)),"")</f>
        <v/>
      </c>
      <c r="G139" s="95" t="str">
        <f>IFERROR(IF(VLOOKUP($A139,'Annex 2 EHV charges'!$D:$O,11,FALSE)=0,"",VLOOKUP($A139,'Annex 2 EHV charges'!$D:$O,11,FALSE)),"")</f>
        <v/>
      </c>
      <c r="H139" s="95" t="str">
        <f>IFERROR(IF(VLOOKUP($A139,'Annex 2 EHV charges'!$D:$O,12,FALSE)=0,"",VLOOKUP($A139,'Annex 2 EHV charges'!$D:$O,12,FALSE)),"")</f>
        <v/>
      </c>
    </row>
    <row r="140" spans="1:8" ht="12.75" customHeight="1" x14ac:dyDescent="0.2">
      <c r="A140" s="92" t="str">
        <f t="array" ref="A140">IFERROR(INDEX('Annex 2 EHV charges'!$D$10:$D$259, MATCH(0, IF(ISBLANK('Annex 2 EHV charges'!$D$10:$D$259),1, COUNTIF(A$4:$A139, 'Annex 2 EHV charges'!$D$10:$D$259)), 0)),"")</f>
        <v/>
      </c>
      <c r="B140" s="91" t="str">
        <f>IF($A140="","",VLOOKUP($A140,'Annex 2 EHV charges'!$D:$O,2,0))</f>
        <v/>
      </c>
      <c r="C140" s="92" t="str">
        <f>IF($A140="","",VLOOKUP($A140,'Annex 2 EHV charges'!$D:$O,3,0))</f>
        <v/>
      </c>
      <c r="D140" s="91" t="str">
        <f>IF($A140="","",VLOOKUP($A140,'Annex 2 EHV charges'!$D:$O,4,0))</f>
        <v/>
      </c>
      <c r="E140" s="93" t="str">
        <f>IFERROR(IF(VLOOKUP($A140,'Annex 2 EHV charges'!$D:$O,9,FALSE)=0,"",VLOOKUP($A140,'Annex 2 EHV charges'!$D:$O,9,FALSE)),"")</f>
        <v/>
      </c>
      <c r="F140" s="94" t="str">
        <f>IFERROR(IF(VLOOKUP($A140,'Annex 2 EHV charges'!$D:$O,10,FALSE)=0,"",VLOOKUP($A140,'Annex 2 EHV charges'!$D:$O,10,FALSE)),"")</f>
        <v/>
      </c>
      <c r="G140" s="95" t="str">
        <f>IFERROR(IF(VLOOKUP($A140,'Annex 2 EHV charges'!$D:$O,11,FALSE)=0,"",VLOOKUP($A140,'Annex 2 EHV charges'!$D:$O,11,FALSE)),"")</f>
        <v/>
      </c>
      <c r="H140" s="95" t="str">
        <f>IFERROR(IF(VLOOKUP($A140,'Annex 2 EHV charges'!$D:$O,12,FALSE)=0,"",VLOOKUP($A140,'Annex 2 EHV charges'!$D:$O,12,FALSE)),"")</f>
        <v/>
      </c>
    </row>
    <row r="141" spans="1:8" ht="12.75" customHeight="1" x14ac:dyDescent="0.2">
      <c r="A141" s="92" t="str">
        <f t="array" ref="A141">IFERROR(INDEX('Annex 2 EHV charges'!$D$10:$D$259, MATCH(0, IF(ISBLANK('Annex 2 EHV charges'!$D$10:$D$259),1, COUNTIF(A$4:$A140, 'Annex 2 EHV charges'!$D$10:$D$259)), 0)),"")</f>
        <v/>
      </c>
      <c r="B141" s="91" t="str">
        <f>IF($A141="","",VLOOKUP($A141,'Annex 2 EHV charges'!$D:$O,2,0))</f>
        <v/>
      </c>
      <c r="C141" s="92" t="str">
        <f>IF($A141="","",VLOOKUP($A141,'Annex 2 EHV charges'!$D:$O,3,0))</f>
        <v/>
      </c>
      <c r="D141" s="91" t="str">
        <f>IF($A141="","",VLOOKUP($A141,'Annex 2 EHV charges'!$D:$O,4,0))</f>
        <v/>
      </c>
      <c r="E141" s="93" t="str">
        <f>IFERROR(IF(VLOOKUP($A141,'Annex 2 EHV charges'!$D:$O,9,FALSE)=0,"",VLOOKUP($A141,'Annex 2 EHV charges'!$D:$O,9,FALSE)),"")</f>
        <v/>
      </c>
      <c r="F141" s="94" t="str">
        <f>IFERROR(IF(VLOOKUP($A141,'Annex 2 EHV charges'!$D:$O,10,FALSE)=0,"",VLOOKUP($A141,'Annex 2 EHV charges'!$D:$O,10,FALSE)),"")</f>
        <v/>
      </c>
      <c r="G141" s="95" t="str">
        <f>IFERROR(IF(VLOOKUP($A141,'Annex 2 EHV charges'!$D:$O,11,FALSE)=0,"",VLOOKUP($A141,'Annex 2 EHV charges'!$D:$O,11,FALSE)),"")</f>
        <v/>
      </c>
      <c r="H141" s="95" t="str">
        <f>IFERROR(IF(VLOOKUP($A141,'Annex 2 EHV charges'!$D:$O,12,FALSE)=0,"",VLOOKUP($A141,'Annex 2 EHV charges'!$D:$O,12,FALSE)),"")</f>
        <v/>
      </c>
    </row>
    <row r="142" spans="1:8" ht="12.75" customHeight="1" x14ac:dyDescent="0.2">
      <c r="A142" s="92" t="str">
        <f t="array" ref="A142">IFERROR(INDEX('Annex 2 EHV charges'!$D$10:$D$259, MATCH(0, IF(ISBLANK('Annex 2 EHV charges'!$D$10:$D$259),1, COUNTIF(A$4:$A141, 'Annex 2 EHV charges'!$D$10:$D$259)), 0)),"")</f>
        <v/>
      </c>
      <c r="B142" s="91" t="str">
        <f>IF($A142="","",VLOOKUP($A142,'Annex 2 EHV charges'!$D:$O,2,0))</f>
        <v/>
      </c>
      <c r="C142" s="92" t="str">
        <f>IF($A142="","",VLOOKUP($A142,'Annex 2 EHV charges'!$D:$O,3,0))</f>
        <v/>
      </c>
      <c r="D142" s="91" t="str">
        <f>IF($A142="","",VLOOKUP($A142,'Annex 2 EHV charges'!$D:$O,4,0))</f>
        <v/>
      </c>
      <c r="E142" s="93" t="str">
        <f>IFERROR(IF(VLOOKUP($A142,'Annex 2 EHV charges'!$D:$O,9,FALSE)=0,"",VLOOKUP($A142,'Annex 2 EHV charges'!$D:$O,9,FALSE)),"")</f>
        <v/>
      </c>
      <c r="F142" s="94" t="str">
        <f>IFERROR(IF(VLOOKUP($A142,'Annex 2 EHV charges'!$D:$O,10,FALSE)=0,"",VLOOKUP($A142,'Annex 2 EHV charges'!$D:$O,10,FALSE)),"")</f>
        <v/>
      </c>
      <c r="G142" s="95" t="str">
        <f>IFERROR(IF(VLOOKUP($A142,'Annex 2 EHV charges'!$D:$O,11,FALSE)=0,"",VLOOKUP($A142,'Annex 2 EHV charges'!$D:$O,11,FALSE)),"")</f>
        <v/>
      </c>
      <c r="H142" s="95" t="str">
        <f>IFERROR(IF(VLOOKUP($A142,'Annex 2 EHV charges'!$D:$O,12,FALSE)=0,"",VLOOKUP($A142,'Annex 2 EHV charges'!$D:$O,12,FALSE)),"")</f>
        <v/>
      </c>
    </row>
    <row r="143" spans="1:8" ht="12.75" customHeight="1" x14ac:dyDescent="0.2">
      <c r="A143" s="92" t="str">
        <f t="array" ref="A143">IFERROR(INDEX('Annex 2 EHV charges'!$D$10:$D$259, MATCH(0, IF(ISBLANK('Annex 2 EHV charges'!$D$10:$D$259),1, COUNTIF(A$4:$A142, 'Annex 2 EHV charges'!$D$10:$D$259)), 0)),"")</f>
        <v/>
      </c>
      <c r="B143" s="91" t="str">
        <f>IF($A143="","",VLOOKUP($A143,'Annex 2 EHV charges'!$D:$O,2,0))</f>
        <v/>
      </c>
      <c r="C143" s="92" t="str">
        <f>IF($A143="","",VLOOKUP($A143,'Annex 2 EHV charges'!$D:$O,3,0))</f>
        <v/>
      </c>
      <c r="D143" s="91" t="str">
        <f>IF($A143="","",VLOOKUP($A143,'Annex 2 EHV charges'!$D:$O,4,0))</f>
        <v/>
      </c>
      <c r="E143" s="93" t="str">
        <f>IFERROR(IF(VLOOKUP($A143,'Annex 2 EHV charges'!$D:$O,9,FALSE)=0,"",VLOOKUP($A143,'Annex 2 EHV charges'!$D:$O,9,FALSE)),"")</f>
        <v/>
      </c>
      <c r="F143" s="94" t="str">
        <f>IFERROR(IF(VLOOKUP($A143,'Annex 2 EHV charges'!$D:$O,10,FALSE)=0,"",VLOOKUP($A143,'Annex 2 EHV charges'!$D:$O,10,FALSE)),"")</f>
        <v/>
      </c>
      <c r="G143" s="95" t="str">
        <f>IFERROR(IF(VLOOKUP($A143,'Annex 2 EHV charges'!$D:$O,11,FALSE)=0,"",VLOOKUP($A143,'Annex 2 EHV charges'!$D:$O,11,FALSE)),"")</f>
        <v/>
      </c>
      <c r="H143" s="95" t="str">
        <f>IFERROR(IF(VLOOKUP($A143,'Annex 2 EHV charges'!$D:$O,12,FALSE)=0,"",VLOOKUP($A143,'Annex 2 EHV charges'!$D:$O,12,FALSE)),"")</f>
        <v/>
      </c>
    </row>
    <row r="144" spans="1:8" ht="12.75" customHeight="1" x14ac:dyDescent="0.2">
      <c r="A144" s="92" t="str">
        <f t="array" ref="A144">IFERROR(INDEX('Annex 2 EHV charges'!$D$10:$D$259, MATCH(0, IF(ISBLANK('Annex 2 EHV charges'!$D$10:$D$259),1, COUNTIF(A$4:$A143, 'Annex 2 EHV charges'!$D$10:$D$259)), 0)),"")</f>
        <v/>
      </c>
      <c r="B144" s="91" t="str">
        <f>IF($A144="","",VLOOKUP($A144,'Annex 2 EHV charges'!$D:$O,2,0))</f>
        <v/>
      </c>
      <c r="C144" s="92" t="str">
        <f>IF($A144="","",VLOOKUP($A144,'Annex 2 EHV charges'!$D:$O,3,0))</f>
        <v/>
      </c>
      <c r="D144" s="91" t="str">
        <f>IF($A144="","",VLOOKUP($A144,'Annex 2 EHV charges'!$D:$O,4,0))</f>
        <v/>
      </c>
      <c r="E144" s="93" t="str">
        <f>IFERROR(IF(VLOOKUP($A144,'Annex 2 EHV charges'!$D:$O,9,FALSE)=0,"",VLOOKUP($A144,'Annex 2 EHV charges'!$D:$O,9,FALSE)),"")</f>
        <v/>
      </c>
      <c r="F144" s="94" t="str">
        <f>IFERROR(IF(VLOOKUP($A144,'Annex 2 EHV charges'!$D:$O,10,FALSE)=0,"",VLOOKUP($A144,'Annex 2 EHV charges'!$D:$O,10,FALSE)),"")</f>
        <v/>
      </c>
      <c r="G144" s="95" t="str">
        <f>IFERROR(IF(VLOOKUP($A144,'Annex 2 EHV charges'!$D:$O,11,FALSE)=0,"",VLOOKUP($A144,'Annex 2 EHV charges'!$D:$O,11,FALSE)),"")</f>
        <v/>
      </c>
      <c r="H144" s="95" t="str">
        <f>IFERROR(IF(VLOOKUP($A144,'Annex 2 EHV charges'!$D:$O,12,FALSE)=0,"",VLOOKUP($A144,'Annex 2 EHV charges'!$D:$O,12,FALSE)),"")</f>
        <v/>
      </c>
    </row>
    <row r="145" spans="1:8" ht="12.75" customHeight="1" x14ac:dyDescent="0.2">
      <c r="A145" s="92" t="str">
        <f t="array" ref="A145">IFERROR(INDEX('Annex 2 EHV charges'!$D$10:$D$259, MATCH(0, IF(ISBLANK('Annex 2 EHV charges'!$D$10:$D$259),1, COUNTIF(A$4:$A144, 'Annex 2 EHV charges'!$D$10:$D$259)), 0)),"")</f>
        <v/>
      </c>
      <c r="B145" s="91" t="str">
        <f>IF($A145="","",VLOOKUP($A145,'Annex 2 EHV charges'!$D:$O,2,0))</f>
        <v/>
      </c>
      <c r="C145" s="92" t="str">
        <f>IF($A145="","",VLOOKUP($A145,'Annex 2 EHV charges'!$D:$O,3,0))</f>
        <v/>
      </c>
      <c r="D145" s="91" t="str">
        <f>IF($A145="","",VLOOKUP($A145,'Annex 2 EHV charges'!$D:$O,4,0))</f>
        <v/>
      </c>
      <c r="E145" s="93" t="str">
        <f>IFERROR(IF(VLOOKUP($A145,'Annex 2 EHV charges'!$D:$O,9,FALSE)=0,"",VLOOKUP($A145,'Annex 2 EHV charges'!$D:$O,9,FALSE)),"")</f>
        <v/>
      </c>
      <c r="F145" s="94" t="str">
        <f>IFERROR(IF(VLOOKUP($A145,'Annex 2 EHV charges'!$D:$O,10,FALSE)=0,"",VLOOKUP($A145,'Annex 2 EHV charges'!$D:$O,10,FALSE)),"")</f>
        <v/>
      </c>
      <c r="G145" s="95" t="str">
        <f>IFERROR(IF(VLOOKUP($A145,'Annex 2 EHV charges'!$D:$O,11,FALSE)=0,"",VLOOKUP($A145,'Annex 2 EHV charges'!$D:$O,11,FALSE)),"")</f>
        <v/>
      </c>
      <c r="H145" s="95" t="str">
        <f>IFERROR(IF(VLOOKUP($A145,'Annex 2 EHV charges'!$D:$O,12,FALSE)=0,"",VLOOKUP($A145,'Annex 2 EHV charges'!$D:$O,12,FALSE)),"")</f>
        <v/>
      </c>
    </row>
    <row r="146" spans="1:8" ht="12.75" customHeight="1" x14ac:dyDescent="0.2">
      <c r="A146" s="92" t="str">
        <f t="array" ref="A146">IFERROR(INDEX('Annex 2 EHV charges'!$D$10:$D$259, MATCH(0, IF(ISBLANK('Annex 2 EHV charges'!$D$10:$D$259),1, COUNTIF(A$4:$A145, 'Annex 2 EHV charges'!$D$10:$D$259)), 0)),"")</f>
        <v/>
      </c>
      <c r="B146" s="91" t="str">
        <f>IF($A146="","",VLOOKUP($A146,'Annex 2 EHV charges'!$D:$O,2,0))</f>
        <v/>
      </c>
      <c r="C146" s="92" t="str">
        <f>IF($A146="","",VLOOKUP($A146,'Annex 2 EHV charges'!$D:$O,3,0))</f>
        <v/>
      </c>
      <c r="D146" s="91" t="str">
        <f>IF($A146="","",VLOOKUP($A146,'Annex 2 EHV charges'!$D:$O,4,0))</f>
        <v/>
      </c>
      <c r="E146" s="93" t="str">
        <f>IFERROR(IF(VLOOKUP($A146,'Annex 2 EHV charges'!$D:$O,9,FALSE)=0,"",VLOOKUP($A146,'Annex 2 EHV charges'!$D:$O,9,FALSE)),"")</f>
        <v/>
      </c>
      <c r="F146" s="94" t="str">
        <f>IFERROR(IF(VLOOKUP($A146,'Annex 2 EHV charges'!$D:$O,10,FALSE)=0,"",VLOOKUP($A146,'Annex 2 EHV charges'!$D:$O,10,FALSE)),"")</f>
        <v/>
      </c>
      <c r="G146" s="95" t="str">
        <f>IFERROR(IF(VLOOKUP($A146,'Annex 2 EHV charges'!$D:$O,11,FALSE)=0,"",VLOOKUP($A146,'Annex 2 EHV charges'!$D:$O,11,FALSE)),"")</f>
        <v/>
      </c>
      <c r="H146" s="95" t="str">
        <f>IFERROR(IF(VLOOKUP($A146,'Annex 2 EHV charges'!$D:$O,12,FALSE)=0,"",VLOOKUP($A146,'Annex 2 EHV charges'!$D:$O,12,FALSE)),"")</f>
        <v/>
      </c>
    </row>
    <row r="147" spans="1:8" ht="12.75" customHeight="1" x14ac:dyDescent="0.2">
      <c r="A147" s="92" t="str">
        <f t="array" ref="A147">IFERROR(INDEX('Annex 2 EHV charges'!$D$10:$D$259, MATCH(0, IF(ISBLANK('Annex 2 EHV charges'!$D$10:$D$259),1, COUNTIF(A$4:$A146, 'Annex 2 EHV charges'!$D$10:$D$259)), 0)),"")</f>
        <v/>
      </c>
      <c r="B147" s="91" t="str">
        <f>IF($A147="","",VLOOKUP($A147,'Annex 2 EHV charges'!$D:$O,2,0))</f>
        <v/>
      </c>
      <c r="C147" s="92" t="str">
        <f>IF($A147="","",VLOOKUP($A147,'Annex 2 EHV charges'!$D:$O,3,0))</f>
        <v/>
      </c>
      <c r="D147" s="91" t="str">
        <f>IF($A147="","",VLOOKUP($A147,'Annex 2 EHV charges'!$D:$O,4,0))</f>
        <v/>
      </c>
      <c r="E147" s="93" t="str">
        <f>IFERROR(IF(VLOOKUP($A147,'Annex 2 EHV charges'!$D:$O,9,FALSE)=0,"",VLOOKUP($A147,'Annex 2 EHV charges'!$D:$O,9,FALSE)),"")</f>
        <v/>
      </c>
      <c r="F147" s="94" t="str">
        <f>IFERROR(IF(VLOOKUP($A147,'Annex 2 EHV charges'!$D:$O,10,FALSE)=0,"",VLOOKUP($A147,'Annex 2 EHV charges'!$D:$O,10,FALSE)),"")</f>
        <v/>
      </c>
      <c r="G147" s="95" t="str">
        <f>IFERROR(IF(VLOOKUP($A147,'Annex 2 EHV charges'!$D:$O,11,FALSE)=0,"",VLOOKUP($A147,'Annex 2 EHV charges'!$D:$O,11,FALSE)),"")</f>
        <v/>
      </c>
      <c r="H147" s="95" t="str">
        <f>IFERROR(IF(VLOOKUP($A147,'Annex 2 EHV charges'!$D:$O,12,FALSE)=0,"",VLOOKUP($A147,'Annex 2 EHV charges'!$D:$O,12,FALSE)),"")</f>
        <v/>
      </c>
    </row>
    <row r="148" spans="1:8" ht="12.75" customHeight="1" x14ac:dyDescent="0.2">
      <c r="A148" s="92" t="str">
        <f t="array" ref="A148">IFERROR(INDEX('Annex 2 EHV charges'!$D$10:$D$259, MATCH(0, IF(ISBLANK('Annex 2 EHV charges'!$D$10:$D$259),1, COUNTIF(A$4:$A147, 'Annex 2 EHV charges'!$D$10:$D$259)), 0)),"")</f>
        <v/>
      </c>
      <c r="B148" s="91" t="str">
        <f>IF($A148="","",VLOOKUP($A148,'Annex 2 EHV charges'!$D:$O,2,0))</f>
        <v/>
      </c>
      <c r="C148" s="92" t="str">
        <f>IF($A148="","",VLOOKUP($A148,'Annex 2 EHV charges'!$D:$O,3,0))</f>
        <v/>
      </c>
      <c r="D148" s="91" t="str">
        <f>IF($A148="","",VLOOKUP($A148,'Annex 2 EHV charges'!$D:$O,4,0))</f>
        <v/>
      </c>
      <c r="E148" s="93" t="str">
        <f>IFERROR(IF(VLOOKUP($A148,'Annex 2 EHV charges'!$D:$O,9,FALSE)=0,"",VLOOKUP($A148,'Annex 2 EHV charges'!$D:$O,9,FALSE)),"")</f>
        <v/>
      </c>
      <c r="F148" s="94" t="str">
        <f>IFERROR(IF(VLOOKUP($A148,'Annex 2 EHV charges'!$D:$O,10,FALSE)=0,"",VLOOKUP($A148,'Annex 2 EHV charges'!$D:$O,10,FALSE)),"")</f>
        <v/>
      </c>
      <c r="G148" s="95" t="str">
        <f>IFERROR(IF(VLOOKUP($A148,'Annex 2 EHV charges'!$D:$O,11,FALSE)=0,"",VLOOKUP($A148,'Annex 2 EHV charges'!$D:$O,11,FALSE)),"")</f>
        <v/>
      </c>
      <c r="H148" s="95" t="str">
        <f>IFERROR(IF(VLOOKUP($A148,'Annex 2 EHV charges'!$D:$O,12,FALSE)=0,"",VLOOKUP($A148,'Annex 2 EHV charges'!$D:$O,12,FALSE)),"")</f>
        <v/>
      </c>
    </row>
    <row r="149" spans="1:8" ht="12.75" customHeight="1" x14ac:dyDescent="0.2">
      <c r="A149" s="92" t="str">
        <f t="array" ref="A149">IFERROR(INDEX('Annex 2 EHV charges'!$D$10:$D$259, MATCH(0, IF(ISBLANK('Annex 2 EHV charges'!$D$10:$D$259),1, COUNTIF(A$4:$A148, 'Annex 2 EHV charges'!$D$10:$D$259)), 0)),"")</f>
        <v/>
      </c>
      <c r="B149" s="91" t="str">
        <f>IF($A149="","",VLOOKUP($A149,'Annex 2 EHV charges'!$D:$O,2,0))</f>
        <v/>
      </c>
      <c r="C149" s="92" t="str">
        <f>IF($A149="","",VLOOKUP($A149,'Annex 2 EHV charges'!$D:$O,3,0))</f>
        <v/>
      </c>
      <c r="D149" s="91" t="str">
        <f>IF($A149="","",VLOOKUP($A149,'Annex 2 EHV charges'!$D:$O,4,0))</f>
        <v/>
      </c>
      <c r="E149" s="93" t="str">
        <f>IFERROR(IF(VLOOKUP($A149,'Annex 2 EHV charges'!$D:$O,9,FALSE)=0,"",VLOOKUP($A149,'Annex 2 EHV charges'!$D:$O,9,FALSE)),"")</f>
        <v/>
      </c>
      <c r="F149" s="94" t="str">
        <f>IFERROR(IF(VLOOKUP($A149,'Annex 2 EHV charges'!$D:$O,10,FALSE)=0,"",VLOOKUP($A149,'Annex 2 EHV charges'!$D:$O,10,FALSE)),"")</f>
        <v/>
      </c>
      <c r="G149" s="95" t="str">
        <f>IFERROR(IF(VLOOKUP($A149,'Annex 2 EHV charges'!$D:$O,11,FALSE)=0,"",VLOOKUP($A149,'Annex 2 EHV charges'!$D:$O,11,FALSE)),"")</f>
        <v/>
      </c>
      <c r="H149" s="95" t="str">
        <f>IFERROR(IF(VLOOKUP($A149,'Annex 2 EHV charges'!$D:$O,12,FALSE)=0,"",VLOOKUP($A149,'Annex 2 EHV charges'!$D:$O,12,FALSE)),"")</f>
        <v/>
      </c>
    </row>
    <row r="150" spans="1:8" ht="12.75" customHeight="1" x14ac:dyDescent="0.2">
      <c r="A150" s="92" t="str">
        <f t="array" ref="A150">IFERROR(INDEX('Annex 2 EHV charges'!$D$10:$D$259, MATCH(0, IF(ISBLANK('Annex 2 EHV charges'!$D$10:$D$259),1, COUNTIF(A$4:$A149, 'Annex 2 EHV charges'!$D$10:$D$259)), 0)),"")</f>
        <v/>
      </c>
      <c r="B150" s="91" t="str">
        <f>IF($A150="","",VLOOKUP($A150,'Annex 2 EHV charges'!$D:$O,2,0))</f>
        <v/>
      </c>
      <c r="C150" s="92" t="str">
        <f>IF($A150="","",VLOOKUP($A150,'Annex 2 EHV charges'!$D:$O,3,0))</f>
        <v/>
      </c>
      <c r="D150" s="91" t="str">
        <f>IF($A150="","",VLOOKUP($A150,'Annex 2 EHV charges'!$D:$O,4,0))</f>
        <v/>
      </c>
      <c r="E150" s="93" t="str">
        <f>IFERROR(IF(VLOOKUP($A150,'Annex 2 EHV charges'!$D:$O,9,FALSE)=0,"",VLOOKUP($A150,'Annex 2 EHV charges'!$D:$O,9,FALSE)),"")</f>
        <v/>
      </c>
      <c r="F150" s="94" t="str">
        <f>IFERROR(IF(VLOOKUP($A150,'Annex 2 EHV charges'!$D:$O,10,FALSE)=0,"",VLOOKUP($A150,'Annex 2 EHV charges'!$D:$O,10,FALSE)),"")</f>
        <v/>
      </c>
      <c r="G150" s="95" t="str">
        <f>IFERROR(IF(VLOOKUP($A150,'Annex 2 EHV charges'!$D:$O,11,FALSE)=0,"",VLOOKUP($A150,'Annex 2 EHV charges'!$D:$O,11,FALSE)),"")</f>
        <v/>
      </c>
      <c r="H150" s="95" t="str">
        <f>IFERROR(IF(VLOOKUP($A150,'Annex 2 EHV charges'!$D:$O,12,FALSE)=0,"",VLOOKUP($A150,'Annex 2 EHV charges'!$D:$O,12,FALSE)),"")</f>
        <v/>
      </c>
    </row>
    <row r="151" spans="1:8" ht="12.75" customHeight="1" x14ac:dyDescent="0.2">
      <c r="A151" s="92" t="str">
        <f t="array" ref="A151">IFERROR(INDEX('Annex 2 EHV charges'!$D$10:$D$259, MATCH(0, IF(ISBLANK('Annex 2 EHV charges'!$D$10:$D$259),1, COUNTIF(A$4:$A150, 'Annex 2 EHV charges'!$D$10:$D$259)), 0)),"")</f>
        <v/>
      </c>
      <c r="B151" s="91" t="str">
        <f>IF($A151="","",VLOOKUP($A151,'Annex 2 EHV charges'!$D:$O,2,0))</f>
        <v/>
      </c>
      <c r="C151" s="92" t="str">
        <f>IF($A151="","",VLOOKUP($A151,'Annex 2 EHV charges'!$D:$O,3,0))</f>
        <v/>
      </c>
      <c r="D151" s="91" t="str">
        <f>IF($A151="","",VLOOKUP($A151,'Annex 2 EHV charges'!$D:$O,4,0))</f>
        <v/>
      </c>
      <c r="E151" s="93" t="str">
        <f>IFERROR(IF(VLOOKUP($A151,'Annex 2 EHV charges'!$D:$O,9,FALSE)=0,"",VLOOKUP($A151,'Annex 2 EHV charges'!$D:$O,9,FALSE)),"")</f>
        <v/>
      </c>
      <c r="F151" s="94" t="str">
        <f>IFERROR(IF(VLOOKUP($A151,'Annex 2 EHV charges'!$D:$O,10,FALSE)=0,"",VLOOKUP($A151,'Annex 2 EHV charges'!$D:$O,10,FALSE)),"")</f>
        <v/>
      </c>
      <c r="G151" s="95" t="str">
        <f>IFERROR(IF(VLOOKUP($A151,'Annex 2 EHV charges'!$D:$O,11,FALSE)=0,"",VLOOKUP($A151,'Annex 2 EHV charges'!$D:$O,11,FALSE)),"")</f>
        <v/>
      </c>
      <c r="H151" s="95" t="str">
        <f>IFERROR(IF(VLOOKUP($A151,'Annex 2 EHV charges'!$D:$O,12,FALSE)=0,"",VLOOKUP($A151,'Annex 2 EHV charges'!$D:$O,12,FALSE)),"")</f>
        <v/>
      </c>
    </row>
    <row r="152" spans="1:8" x14ac:dyDescent="0.2">
      <c r="A152" s="92" t="str">
        <f t="array" ref="A152">IFERROR(INDEX('Annex 2 EHV charges'!$D$10:$D$259, MATCH(0, IF(ISBLANK('Annex 2 EHV charges'!$D$10:$D$259),1, COUNTIF(A$4:$A151, 'Annex 2 EHV charges'!$D$10:$D$259)), 0)),"")</f>
        <v/>
      </c>
      <c r="B152" s="91" t="str">
        <f>IF($A152="","",VLOOKUP($A152,'Annex 2 EHV charges'!$D:$O,2,0))</f>
        <v/>
      </c>
      <c r="C152" s="92" t="str">
        <f>IF($A152="","",VLOOKUP($A152,'Annex 2 EHV charges'!$D:$O,3,0))</f>
        <v/>
      </c>
      <c r="D152" s="91" t="str">
        <f>IF($A152="","",VLOOKUP($A152,'Annex 2 EHV charges'!$D:$O,4,0))</f>
        <v/>
      </c>
      <c r="E152" s="93" t="str">
        <f>IFERROR(IF(VLOOKUP($A152,'Annex 2 EHV charges'!$D:$O,9,FALSE)=0,"",VLOOKUP($A152,'Annex 2 EHV charges'!$D:$O,9,FALSE)),"")</f>
        <v/>
      </c>
      <c r="F152" s="94" t="str">
        <f>IFERROR(IF(VLOOKUP($A152,'Annex 2 EHV charges'!$D:$O,10,FALSE)=0,"",VLOOKUP($A152,'Annex 2 EHV charges'!$D:$O,10,FALSE)),"")</f>
        <v/>
      </c>
      <c r="G152" s="95" t="str">
        <f>IFERROR(IF(VLOOKUP($A152,'Annex 2 EHV charges'!$D:$O,11,FALSE)=0,"",VLOOKUP($A152,'Annex 2 EHV charges'!$D:$O,11,FALSE)),"")</f>
        <v/>
      </c>
      <c r="H152" s="95" t="str">
        <f>IFERROR(IF(VLOOKUP($A152,'Annex 2 EHV charges'!$D:$O,12,FALSE)=0,"",VLOOKUP($A152,'Annex 2 EHV charges'!$D:$O,12,FALSE)),"")</f>
        <v/>
      </c>
    </row>
    <row r="153" spans="1:8" x14ac:dyDescent="0.2">
      <c r="A153" s="92" t="str">
        <f t="array" ref="A153">IFERROR(INDEX('Annex 2 EHV charges'!$D$10:$D$259, MATCH(0, IF(ISBLANK('Annex 2 EHV charges'!$D$10:$D$259),1, COUNTIF(A$4:$A152, 'Annex 2 EHV charges'!$D$10:$D$259)), 0)),"")</f>
        <v/>
      </c>
      <c r="B153" s="91" t="str">
        <f>IF($A153="","",VLOOKUP($A153,'Annex 2 EHV charges'!$D:$O,2,0))</f>
        <v/>
      </c>
      <c r="C153" s="92" t="str">
        <f>IF($A153="","",VLOOKUP($A153,'Annex 2 EHV charges'!$D:$O,3,0))</f>
        <v/>
      </c>
      <c r="D153" s="91" t="str">
        <f>IF($A153="","",VLOOKUP($A153,'Annex 2 EHV charges'!$D:$O,4,0))</f>
        <v/>
      </c>
      <c r="E153" s="93" t="str">
        <f>IFERROR(IF(VLOOKUP($A153,'Annex 2 EHV charges'!$D:$O,9,FALSE)=0,"",VLOOKUP($A153,'Annex 2 EHV charges'!$D:$O,9,FALSE)),"")</f>
        <v/>
      </c>
      <c r="F153" s="94" t="str">
        <f>IFERROR(IF(VLOOKUP($A153,'Annex 2 EHV charges'!$D:$O,10,FALSE)=0,"",VLOOKUP($A153,'Annex 2 EHV charges'!$D:$O,10,FALSE)),"")</f>
        <v/>
      </c>
      <c r="G153" s="95" t="str">
        <f>IFERROR(IF(VLOOKUP($A153,'Annex 2 EHV charges'!$D:$O,11,FALSE)=0,"",VLOOKUP($A153,'Annex 2 EHV charges'!$D:$O,11,FALSE)),"")</f>
        <v/>
      </c>
      <c r="H153" s="95" t="str">
        <f>IFERROR(IF(VLOOKUP($A153,'Annex 2 EHV charges'!$D:$O,12,FALSE)=0,"",VLOOKUP($A153,'Annex 2 EHV charges'!$D:$O,12,FALSE)),"")</f>
        <v/>
      </c>
    </row>
    <row r="154" spans="1:8" x14ac:dyDescent="0.2">
      <c r="A154" s="92" t="str">
        <f t="array" ref="A154">IFERROR(INDEX('Annex 2 EHV charges'!$D$10:$D$259, MATCH(0, IF(ISBLANK('Annex 2 EHV charges'!$D$10:$D$259),1, COUNTIF(A$4:$A153, 'Annex 2 EHV charges'!$D$10:$D$259)), 0)),"")</f>
        <v/>
      </c>
      <c r="B154" s="91" t="str">
        <f>IF($A154="","",VLOOKUP($A154,'Annex 2 EHV charges'!$D:$O,2,0))</f>
        <v/>
      </c>
      <c r="C154" s="92" t="str">
        <f>IF($A154="","",VLOOKUP($A154,'Annex 2 EHV charges'!$D:$O,3,0))</f>
        <v/>
      </c>
      <c r="D154" s="91" t="str">
        <f>IF($A154="","",VLOOKUP($A154,'Annex 2 EHV charges'!$D:$O,4,0))</f>
        <v/>
      </c>
      <c r="E154" s="93" t="str">
        <f>IFERROR(IF(VLOOKUP($A154,'Annex 2 EHV charges'!$D:$O,9,FALSE)=0,"",VLOOKUP($A154,'Annex 2 EHV charges'!$D:$O,9,FALSE)),"")</f>
        <v/>
      </c>
      <c r="F154" s="94" t="str">
        <f>IFERROR(IF(VLOOKUP($A154,'Annex 2 EHV charges'!$D:$O,10,FALSE)=0,"",VLOOKUP($A154,'Annex 2 EHV charges'!$D:$O,10,FALSE)),"")</f>
        <v/>
      </c>
      <c r="G154" s="95" t="str">
        <f>IFERROR(IF(VLOOKUP($A154,'Annex 2 EHV charges'!$D:$O,11,FALSE)=0,"",VLOOKUP($A154,'Annex 2 EHV charges'!$D:$O,11,FALSE)),"")</f>
        <v/>
      </c>
      <c r="H154" s="95" t="str">
        <f>IFERROR(IF(VLOOKUP($A154,'Annex 2 EHV charges'!$D:$O,12,FALSE)=0,"",VLOOKUP($A154,'Annex 2 EHV charges'!$D:$O,12,FALSE)),"")</f>
        <v/>
      </c>
    </row>
    <row r="155" spans="1:8" x14ac:dyDescent="0.2">
      <c r="A155" s="92" t="str">
        <f t="array" ref="A155">IFERROR(INDEX('Annex 2 EHV charges'!$D$10:$D$259, MATCH(0, IF(ISBLANK('Annex 2 EHV charges'!$D$10:$D$259),1, COUNTIF(A$4:$A154, 'Annex 2 EHV charges'!$D$10:$D$259)), 0)),"")</f>
        <v/>
      </c>
      <c r="B155" s="91" t="str">
        <f>IF($A155="","",VLOOKUP($A155,'Annex 2 EHV charges'!$D:$O,2,0))</f>
        <v/>
      </c>
      <c r="C155" s="92" t="str">
        <f>IF($A155="","",VLOOKUP($A155,'Annex 2 EHV charges'!$D:$O,3,0))</f>
        <v/>
      </c>
      <c r="D155" s="91" t="str">
        <f>IF($A155="","",VLOOKUP($A155,'Annex 2 EHV charges'!$D:$O,4,0))</f>
        <v/>
      </c>
      <c r="E155" s="93" t="str">
        <f>IFERROR(IF(VLOOKUP($A155,'Annex 2 EHV charges'!$D:$O,9,FALSE)=0,"",VLOOKUP($A155,'Annex 2 EHV charges'!$D:$O,9,FALSE)),"")</f>
        <v/>
      </c>
      <c r="F155" s="94" t="str">
        <f>IFERROR(IF(VLOOKUP($A155,'Annex 2 EHV charges'!$D:$O,10,FALSE)=0,"",VLOOKUP($A155,'Annex 2 EHV charges'!$D:$O,10,FALSE)),"")</f>
        <v/>
      </c>
      <c r="G155" s="95" t="str">
        <f>IFERROR(IF(VLOOKUP($A155,'Annex 2 EHV charges'!$D:$O,11,FALSE)=0,"",VLOOKUP($A155,'Annex 2 EHV charges'!$D:$O,11,FALSE)),"")</f>
        <v/>
      </c>
      <c r="H155" s="95" t="str">
        <f>IFERROR(IF(VLOOKUP($A155,'Annex 2 EHV charges'!$D:$O,12,FALSE)=0,"",VLOOKUP($A155,'Annex 2 EHV charges'!$D:$O,12,FALSE)),"")</f>
        <v/>
      </c>
    </row>
    <row r="156" spans="1:8" x14ac:dyDescent="0.2">
      <c r="A156" s="92" t="str">
        <f t="array" ref="A156">IFERROR(INDEX('Annex 2 EHV charges'!$D$10:$D$259, MATCH(0, IF(ISBLANK('Annex 2 EHV charges'!$D$10:$D$259),1, COUNTIF(A$4:$A155, 'Annex 2 EHV charges'!$D$10:$D$259)), 0)),"")</f>
        <v/>
      </c>
      <c r="B156" s="91" t="str">
        <f>IF($A156="","",VLOOKUP($A156,'Annex 2 EHV charges'!$D:$O,2,0))</f>
        <v/>
      </c>
      <c r="C156" s="92" t="str">
        <f>IF($A156="","",VLOOKUP($A156,'Annex 2 EHV charges'!$D:$O,3,0))</f>
        <v/>
      </c>
      <c r="D156" s="91" t="str">
        <f>IF($A156="","",VLOOKUP($A156,'Annex 2 EHV charges'!$D:$O,4,0))</f>
        <v/>
      </c>
      <c r="E156" s="93" t="str">
        <f>IFERROR(IF(VLOOKUP($A156,'Annex 2 EHV charges'!$D:$O,9,FALSE)=0,"",VLOOKUP($A156,'Annex 2 EHV charges'!$D:$O,9,FALSE)),"")</f>
        <v/>
      </c>
      <c r="F156" s="94" t="str">
        <f>IFERROR(IF(VLOOKUP($A156,'Annex 2 EHV charges'!$D:$O,10,FALSE)=0,"",VLOOKUP($A156,'Annex 2 EHV charges'!$D:$O,10,FALSE)),"")</f>
        <v/>
      </c>
      <c r="G156" s="95" t="str">
        <f>IFERROR(IF(VLOOKUP($A156,'Annex 2 EHV charges'!$D:$O,11,FALSE)=0,"",VLOOKUP($A156,'Annex 2 EHV charges'!$D:$O,11,FALSE)),"")</f>
        <v/>
      </c>
      <c r="H156" s="95" t="str">
        <f>IFERROR(IF(VLOOKUP($A156,'Annex 2 EHV charges'!$D:$O,12,FALSE)=0,"",VLOOKUP($A156,'Annex 2 EHV charges'!$D:$O,12,FALSE)),"")</f>
        <v/>
      </c>
    </row>
    <row r="157" spans="1:8" x14ac:dyDescent="0.2">
      <c r="A157" s="92" t="str">
        <f t="array" ref="A157">IFERROR(INDEX('Annex 2 EHV charges'!$D$10:$D$259, MATCH(0, IF(ISBLANK('Annex 2 EHV charges'!$D$10:$D$259),1, COUNTIF(A$4:$A156, 'Annex 2 EHV charges'!$D$10:$D$259)), 0)),"")</f>
        <v/>
      </c>
      <c r="B157" s="91" t="str">
        <f>IF($A157="","",VLOOKUP($A157,'Annex 2 EHV charges'!$D:$O,2,0))</f>
        <v/>
      </c>
      <c r="C157" s="92" t="str">
        <f>IF($A157="","",VLOOKUP($A157,'Annex 2 EHV charges'!$D:$O,3,0))</f>
        <v/>
      </c>
      <c r="D157" s="91" t="str">
        <f>IF($A157="","",VLOOKUP($A157,'Annex 2 EHV charges'!$D:$O,4,0))</f>
        <v/>
      </c>
      <c r="E157" s="93" t="str">
        <f>IFERROR(IF(VLOOKUP($A157,'Annex 2 EHV charges'!$D:$O,9,FALSE)=0,"",VLOOKUP($A157,'Annex 2 EHV charges'!$D:$O,9,FALSE)),"")</f>
        <v/>
      </c>
      <c r="F157" s="94" t="str">
        <f>IFERROR(IF(VLOOKUP($A157,'Annex 2 EHV charges'!$D:$O,10,FALSE)=0,"",VLOOKUP($A157,'Annex 2 EHV charges'!$D:$O,10,FALSE)),"")</f>
        <v/>
      </c>
      <c r="G157" s="95" t="str">
        <f>IFERROR(IF(VLOOKUP($A157,'Annex 2 EHV charges'!$D:$O,11,FALSE)=0,"",VLOOKUP($A157,'Annex 2 EHV charges'!$D:$O,11,FALSE)),"")</f>
        <v/>
      </c>
      <c r="H157" s="95" t="str">
        <f>IFERROR(IF(VLOOKUP($A157,'Annex 2 EHV charges'!$D:$O,12,FALSE)=0,"",VLOOKUP($A157,'Annex 2 EHV charges'!$D:$O,12,FALSE)),"")</f>
        <v/>
      </c>
    </row>
    <row r="158" spans="1:8" x14ac:dyDescent="0.2">
      <c r="A158" s="92" t="str">
        <f t="array" ref="A158">IFERROR(INDEX('Annex 2 EHV charges'!$D$10:$D$259, MATCH(0, IF(ISBLANK('Annex 2 EHV charges'!$D$10:$D$259),1, COUNTIF(A$4:$A157, 'Annex 2 EHV charges'!$D$10:$D$259)), 0)),"")</f>
        <v/>
      </c>
      <c r="B158" s="91" t="str">
        <f>IF($A158="","",VLOOKUP($A158,'Annex 2 EHV charges'!$D:$O,2,0))</f>
        <v/>
      </c>
      <c r="C158" s="92" t="str">
        <f>IF($A158="","",VLOOKUP($A158,'Annex 2 EHV charges'!$D:$O,3,0))</f>
        <v/>
      </c>
      <c r="D158" s="91" t="str">
        <f>IF($A158="","",VLOOKUP($A158,'Annex 2 EHV charges'!$D:$O,4,0))</f>
        <v/>
      </c>
      <c r="E158" s="93" t="str">
        <f>IFERROR(IF(VLOOKUP($A158,'Annex 2 EHV charges'!$D:$O,9,FALSE)=0,"",VLOOKUP($A158,'Annex 2 EHV charges'!$D:$O,9,FALSE)),"")</f>
        <v/>
      </c>
      <c r="F158" s="94" t="str">
        <f>IFERROR(IF(VLOOKUP($A158,'Annex 2 EHV charges'!$D:$O,10,FALSE)=0,"",VLOOKUP($A158,'Annex 2 EHV charges'!$D:$O,10,FALSE)),"")</f>
        <v/>
      </c>
      <c r="G158" s="95" t="str">
        <f>IFERROR(IF(VLOOKUP($A158,'Annex 2 EHV charges'!$D:$O,11,FALSE)=0,"",VLOOKUP($A158,'Annex 2 EHV charges'!$D:$O,11,FALSE)),"")</f>
        <v/>
      </c>
      <c r="H158" s="95" t="str">
        <f>IFERROR(IF(VLOOKUP($A158,'Annex 2 EHV charges'!$D:$O,12,FALSE)=0,"",VLOOKUP($A158,'Annex 2 EHV charges'!$D:$O,12,FALSE)),"")</f>
        <v/>
      </c>
    </row>
    <row r="159" spans="1:8" x14ac:dyDescent="0.2">
      <c r="A159" s="92" t="str">
        <f t="array" ref="A159">IFERROR(INDEX('Annex 2 EHV charges'!$D$10:$D$259, MATCH(0, IF(ISBLANK('Annex 2 EHV charges'!$D$10:$D$259),1, COUNTIF(A$4:$A158, 'Annex 2 EHV charges'!$D$10:$D$259)), 0)),"")</f>
        <v/>
      </c>
      <c r="B159" s="91" t="str">
        <f>IF($A159="","",VLOOKUP($A159,'Annex 2 EHV charges'!$D:$O,2,0))</f>
        <v/>
      </c>
      <c r="C159" s="92" t="str">
        <f>IF($A159="","",VLOOKUP($A159,'Annex 2 EHV charges'!$D:$O,3,0))</f>
        <v/>
      </c>
      <c r="D159" s="91" t="str">
        <f>IF($A159="","",VLOOKUP($A159,'Annex 2 EHV charges'!$D:$O,4,0))</f>
        <v/>
      </c>
      <c r="E159" s="93" t="str">
        <f>IFERROR(IF(VLOOKUP($A159,'Annex 2 EHV charges'!$D:$O,9,FALSE)=0,"",VLOOKUP($A159,'Annex 2 EHV charges'!$D:$O,9,FALSE)),"")</f>
        <v/>
      </c>
      <c r="F159" s="94" t="str">
        <f>IFERROR(IF(VLOOKUP($A159,'Annex 2 EHV charges'!$D:$O,10,FALSE)=0,"",VLOOKUP($A159,'Annex 2 EHV charges'!$D:$O,10,FALSE)),"")</f>
        <v/>
      </c>
      <c r="G159" s="95" t="str">
        <f>IFERROR(IF(VLOOKUP($A159,'Annex 2 EHV charges'!$D:$O,11,FALSE)=0,"",VLOOKUP($A159,'Annex 2 EHV charges'!$D:$O,11,FALSE)),"")</f>
        <v/>
      </c>
      <c r="H159" s="95" t="str">
        <f>IFERROR(IF(VLOOKUP($A159,'Annex 2 EHV charges'!$D:$O,12,FALSE)=0,"",VLOOKUP($A159,'Annex 2 EHV charges'!$D:$O,12,FALSE)),"")</f>
        <v/>
      </c>
    </row>
    <row r="160" spans="1:8" x14ac:dyDescent="0.2">
      <c r="A160" s="92" t="str">
        <f t="array" ref="A160">IFERROR(INDEX('Annex 2 EHV charges'!$D$10:$D$259, MATCH(0, IF(ISBLANK('Annex 2 EHV charges'!$D$10:$D$259),1, COUNTIF(A$4:$A159, 'Annex 2 EHV charges'!$D$10:$D$259)), 0)),"")</f>
        <v/>
      </c>
      <c r="B160" s="91" t="str">
        <f>IF($A160="","",VLOOKUP($A160,'Annex 2 EHV charges'!$D:$O,2,0))</f>
        <v/>
      </c>
      <c r="C160" s="92" t="str">
        <f>IF($A160="","",VLOOKUP($A160,'Annex 2 EHV charges'!$D:$O,3,0))</f>
        <v/>
      </c>
      <c r="D160" s="91" t="str">
        <f>IF($A160="","",VLOOKUP($A160,'Annex 2 EHV charges'!$D:$O,4,0))</f>
        <v/>
      </c>
      <c r="E160" s="93" t="str">
        <f>IFERROR(IF(VLOOKUP($A160,'Annex 2 EHV charges'!$D:$O,9,FALSE)=0,"",VLOOKUP($A160,'Annex 2 EHV charges'!$D:$O,9,FALSE)),"")</f>
        <v/>
      </c>
      <c r="F160" s="94" t="str">
        <f>IFERROR(IF(VLOOKUP($A160,'Annex 2 EHV charges'!$D:$O,10,FALSE)=0,"",VLOOKUP($A160,'Annex 2 EHV charges'!$D:$O,10,FALSE)),"")</f>
        <v/>
      </c>
      <c r="G160" s="95" t="str">
        <f>IFERROR(IF(VLOOKUP($A160,'Annex 2 EHV charges'!$D:$O,11,FALSE)=0,"",VLOOKUP($A160,'Annex 2 EHV charges'!$D:$O,11,FALSE)),"")</f>
        <v/>
      </c>
      <c r="H160" s="95" t="str">
        <f>IFERROR(IF(VLOOKUP($A160,'Annex 2 EHV charges'!$D:$O,12,FALSE)=0,"",VLOOKUP($A160,'Annex 2 EHV charges'!$D:$O,12,FALSE)),"")</f>
        <v/>
      </c>
    </row>
    <row r="161" spans="1:8" x14ac:dyDescent="0.2">
      <c r="A161" s="92" t="str">
        <f t="array" ref="A161">IFERROR(INDEX('Annex 2 EHV charges'!$D$10:$D$259, MATCH(0, IF(ISBLANK('Annex 2 EHV charges'!$D$10:$D$259),1, COUNTIF(A$4:$A160, 'Annex 2 EHV charges'!$D$10:$D$259)), 0)),"")</f>
        <v/>
      </c>
      <c r="B161" s="91" t="str">
        <f>IF($A161="","",VLOOKUP($A161,'Annex 2 EHV charges'!$D:$O,2,0))</f>
        <v/>
      </c>
      <c r="C161" s="92" t="str">
        <f>IF($A161="","",VLOOKUP($A161,'Annex 2 EHV charges'!$D:$O,3,0))</f>
        <v/>
      </c>
      <c r="D161" s="91" t="str">
        <f>IF($A161="","",VLOOKUP($A161,'Annex 2 EHV charges'!$D:$O,4,0))</f>
        <v/>
      </c>
      <c r="E161" s="93" t="str">
        <f>IFERROR(IF(VLOOKUP($A161,'Annex 2 EHV charges'!$D:$O,9,FALSE)=0,"",VLOOKUP($A161,'Annex 2 EHV charges'!$D:$O,9,FALSE)),"")</f>
        <v/>
      </c>
      <c r="F161" s="94" t="str">
        <f>IFERROR(IF(VLOOKUP($A161,'Annex 2 EHV charges'!$D:$O,10,FALSE)=0,"",VLOOKUP($A161,'Annex 2 EHV charges'!$D:$O,10,FALSE)),"")</f>
        <v/>
      </c>
      <c r="G161" s="95" t="str">
        <f>IFERROR(IF(VLOOKUP($A161,'Annex 2 EHV charges'!$D:$O,11,FALSE)=0,"",VLOOKUP($A161,'Annex 2 EHV charges'!$D:$O,11,FALSE)),"")</f>
        <v/>
      </c>
      <c r="H161" s="95" t="str">
        <f>IFERROR(IF(VLOOKUP($A161,'Annex 2 EHV charges'!$D:$O,12,FALSE)=0,"",VLOOKUP($A161,'Annex 2 EHV charges'!$D:$O,12,FALSE)),"")</f>
        <v/>
      </c>
    </row>
    <row r="162" spans="1:8" x14ac:dyDescent="0.2">
      <c r="A162" s="92" t="str">
        <f t="array" ref="A162">IFERROR(INDEX('Annex 2 EHV charges'!$D$10:$D$259, MATCH(0, IF(ISBLANK('Annex 2 EHV charges'!$D$10:$D$259),1, COUNTIF(A$4:$A161, 'Annex 2 EHV charges'!$D$10:$D$259)), 0)),"")</f>
        <v/>
      </c>
      <c r="B162" s="91" t="str">
        <f>IF($A162="","",VLOOKUP($A162,'Annex 2 EHV charges'!$D:$O,2,0))</f>
        <v/>
      </c>
      <c r="C162" s="92" t="str">
        <f>IF($A162="","",VLOOKUP($A162,'Annex 2 EHV charges'!$D:$O,3,0))</f>
        <v/>
      </c>
      <c r="D162" s="91" t="str">
        <f>IF($A162="","",VLOOKUP($A162,'Annex 2 EHV charges'!$D:$O,4,0))</f>
        <v/>
      </c>
      <c r="E162" s="93" t="str">
        <f>IFERROR(IF(VLOOKUP($A162,'Annex 2 EHV charges'!$D:$O,9,FALSE)=0,"",VLOOKUP($A162,'Annex 2 EHV charges'!$D:$O,9,FALSE)),"")</f>
        <v/>
      </c>
      <c r="F162" s="94" t="str">
        <f>IFERROR(IF(VLOOKUP($A162,'Annex 2 EHV charges'!$D:$O,10,FALSE)=0,"",VLOOKUP($A162,'Annex 2 EHV charges'!$D:$O,10,FALSE)),"")</f>
        <v/>
      </c>
      <c r="G162" s="95" t="str">
        <f>IFERROR(IF(VLOOKUP($A162,'Annex 2 EHV charges'!$D:$O,11,FALSE)=0,"",VLOOKUP($A162,'Annex 2 EHV charges'!$D:$O,11,FALSE)),"")</f>
        <v/>
      </c>
      <c r="H162" s="95" t="str">
        <f>IFERROR(IF(VLOOKUP($A162,'Annex 2 EHV charges'!$D:$O,12,FALSE)=0,"",VLOOKUP($A162,'Annex 2 EHV charges'!$D:$O,12,FALSE)),"")</f>
        <v/>
      </c>
    </row>
    <row r="163" spans="1:8" x14ac:dyDescent="0.2">
      <c r="A163" s="92" t="str">
        <f t="array" ref="A163">IFERROR(INDEX('Annex 2 EHV charges'!$D$10:$D$259, MATCH(0, IF(ISBLANK('Annex 2 EHV charges'!$D$10:$D$259),1, COUNTIF(A$4:$A162, 'Annex 2 EHV charges'!$D$10:$D$259)), 0)),"")</f>
        <v/>
      </c>
      <c r="B163" s="91" t="str">
        <f>IF($A163="","",VLOOKUP($A163,'Annex 2 EHV charges'!$D:$O,2,0))</f>
        <v/>
      </c>
      <c r="C163" s="92" t="str">
        <f>IF($A163="","",VLOOKUP($A163,'Annex 2 EHV charges'!$D:$O,3,0))</f>
        <v/>
      </c>
      <c r="D163" s="91" t="str">
        <f>IF($A163="","",VLOOKUP($A163,'Annex 2 EHV charges'!$D:$O,4,0))</f>
        <v/>
      </c>
      <c r="E163" s="93" t="str">
        <f>IFERROR(IF(VLOOKUP($A163,'Annex 2 EHV charges'!$D:$O,9,FALSE)=0,"",VLOOKUP($A163,'Annex 2 EHV charges'!$D:$O,9,FALSE)),"")</f>
        <v/>
      </c>
      <c r="F163" s="94" t="str">
        <f>IFERROR(IF(VLOOKUP($A163,'Annex 2 EHV charges'!$D:$O,10,FALSE)=0,"",VLOOKUP($A163,'Annex 2 EHV charges'!$D:$O,10,FALSE)),"")</f>
        <v/>
      </c>
      <c r="G163" s="95" t="str">
        <f>IFERROR(IF(VLOOKUP($A163,'Annex 2 EHV charges'!$D:$O,11,FALSE)=0,"",VLOOKUP($A163,'Annex 2 EHV charges'!$D:$O,11,FALSE)),"")</f>
        <v/>
      </c>
      <c r="H163" s="95" t="str">
        <f>IFERROR(IF(VLOOKUP($A163,'Annex 2 EHV charges'!$D:$O,12,FALSE)=0,"",VLOOKUP($A163,'Annex 2 EHV charges'!$D:$O,12,FALSE)),"")</f>
        <v/>
      </c>
    </row>
    <row r="164" spans="1:8" x14ac:dyDescent="0.2">
      <c r="A164" s="92" t="str">
        <f t="array" ref="A164">IFERROR(INDEX('Annex 2 EHV charges'!$D$10:$D$259, MATCH(0, IF(ISBLANK('Annex 2 EHV charges'!$D$10:$D$259),1, COUNTIF(A$4:$A163, 'Annex 2 EHV charges'!$D$10:$D$259)), 0)),"")</f>
        <v/>
      </c>
      <c r="B164" s="91" t="str">
        <f>IF($A164="","",VLOOKUP($A164,'Annex 2 EHV charges'!$D:$O,2,0))</f>
        <v/>
      </c>
      <c r="C164" s="92" t="str">
        <f>IF($A164="","",VLOOKUP($A164,'Annex 2 EHV charges'!$D:$O,3,0))</f>
        <v/>
      </c>
      <c r="D164" s="91" t="str">
        <f>IF($A164="","",VLOOKUP($A164,'Annex 2 EHV charges'!$D:$O,4,0))</f>
        <v/>
      </c>
      <c r="E164" s="93" t="str">
        <f>IFERROR(IF(VLOOKUP($A164,'Annex 2 EHV charges'!$D:$O,9,FALSE)=0,"",VLOOKUP($A164,'Annex 2 EHV charges'!$D:$O,9,FALSE)),"")</f>
        <v/>
      </c>
      <c r="F164" s="94" t="str">
        <f>IFERROR(IF(VLOOKUP($A164,'Annex 2 EHV charges'!$D:$O,10,FALSE)=0,"",VLOOKUP($A164,'Annex 2 EHV charges'!$D:$O,10,FALSE)),"")</f>
        <v/>
      </c>
      <c r="G164" s="95" t="str">
        <f>IFERROR(IF(VLOOKUP($A164,'Annex 2 EHV charges'!$D:$O,11,FALSE)=0,"",VLOOKUP($A164,'Annex 2 EHV charges'!$D:$O,11,FALSE)),"")</f>
        <v/>
      </c>
      <c r="H164" s="95" t="str">
        <f>IFERROR(IF(VLOOKUP($A164,'Annex 2 EHV charges'!$D:$O,12,FALSE)=0,"",VLOOKUP($A164,'Annex 2 EHV charges'!$D:$O,12,FALSE)),"")</f>
        <v/>
      </c>
    </row>
    <row r="165" spans="1:8" x14ac:dyDescent="0.2">
      <c r="A165" s="92" t="str">
        <f t="array" ref="A165">IFERROR(INDEX('Annex 2 EHV charges'!$D$10:$D$259, MATCH(0, IF(ISBLANK('Annex 2 EHV charges'!$D$10:$D$259),1, COUNTIF(A$4:$A164, 'Annex 2 EHV charges'!$D$10:$D$259)), 0)),"")</f>
        <v/>
      </c>
      <c r="B165" s="91" t="str">
        <f>IF($A165="","",VLOOKUP($A165,'Annex 2 EHV charges'!$D:$O,2,0))</f>
        <v/>
      </c>
      <c r="C165" s="92" t="str">
        <f>IF($A165="","",VLOOKUP($A165,'Annex 2 EHV charges'!$D:$O,3,0))</f>
        <v/>
      </c>
      <c r="D165" s="91" t="str">
        <f>IF($A165="","",VLOOKUP($A165,'Annex 2 EHV charges'!$D:$O,4,0))</f>
        <v/>
      </c>
      <c r="E165" s="93" t="str">
        <f>IFERROR(IF(VLOOKUP($A165,'Annex 2 EHV charges'!$D:$O,9,FALSE)=0,"",VLOOKUP($A165,'Annex 2 EHV charges'!$D:$O,9,FALSE)),"")</f>
        <v/>
      </c>
      <c r="F165" s="94" t="str">
        <f>IFERROR(IF(VLOOKUP($A165,'Annex 2 EHV charges'!$D:$O,10,FALSE)=0,"",VLOOKUP($A165,'Annex 2 EHV charges'!$D:$O,10,FALSE)),"")</f>
        <v/>
      </c>
      <c r="G165" s="95" t="str">
        <f>IFERROR(IF(VLOOKUP($A165,'Annex 2 EHV charges'!$D:$O,11,FALSE)=0,"",VLOOKUP($A165,'Annex 2 EHV charges'!$D:$O,11,FALSE)),"")</f>
        <v/>
      </c>
      <c r="H165" s="95" t="str">
        <f>IFERROR(IF(VLOOKUP($A165,'Annex 2 EHV charges'!$D:$O,12,FALSE)=0,"",VLOOKUP($A165,'Annex 2 EHV charges'!$D:$O,12,FALSE)),"")</f>
        <v/>
      </c>
    </row>
    <row r="166" spans="1:8" x14ac:dyDescent="0.2">
      <c r="A166" s="92" t="str">
        <f t="array" ref="A166">IFERROR(INDEX('Annex 2 EHV charges'!$D$10:$D$259, MATCH(0, IF(ISBLANK('Annex 2 EHV charges'!$D$10:$D$259),1, COUNTIF(A$4:$A165, 'Annex 2 EHV charges'!$D$10:$D$259)), 0)),"")</f>
        <v/>
      </c>
      <c r="B166" s="91" t="str">
        <f>IF($A166="","",VLOOKUP($A166,'Annex 2 EHV charges'!$D:$O,2,0))</f>
        <v/>
      </c>
      <c r="C166" s="92" t="str">
        <f>IF($A166="","",VLOOKUP($A166,'Annex 2 EHV charges'!$D:$O,3,0))</f>
        <v/>
      </c>
      <c r="D166" s="91" t="str">
        <f>IF($A166="","",VLOOKUP($A166,'Annex 2 EHV charges'!$D:$O,4,0))</f>
        <v/>
      </c>
      <c r="E166" s="93" t="str">
        <f>IFERROR(IF(VLOOKUP($A166,'Annex 2 EHV charges'!$D:$O,9,FALSE)=0,"",VLOOKUP($A166,'Annex 2 EHV charges'!$D:$O,9,FALSE)),"")</f>
        <v/>
      </c>
      <c r="F166" s="94" t="str">
        <f>IFERROR(IF(VLOOKUP($A166,'Annex 2 EHV charges'!$D:$O,10,FALSE)=0,"",VLOOKUP($A166,'Annex 2 EHV charges'!$D:$O,10,FALSE)),"")</f>
        <v/>
      </c>
      <c r="G166" s="95" t="str">
        <f>IFERROR(IF(VLOOKUP($A166,'Annex 2 EHV charges'!$D:$O,11,FALSE)=0,"",VLOOKUP($A166,'Annex 2 EHV charges'!$D:$O,11,FALSE)),"")</f>
        <v/>
      </c>
      <c r="H166" s="95" t="str">
        <f>IFERROR(IF(VLOOKUP($A166,'Annex 2 EHV charges'!$D:$O,12,FALSE)=0,"",VLOOKUP($A166,'Annex 2 EHV charges'!$D:$O,12,FALSE)),"")</f>
        <v/>
      </c>
    </row>
    <row r="167" spans="1:8" x14ac:dyDescent="0.2">
      <c r="A167" s="92" t="str">
        <f t="array" ref="A167">IFERROR(INDEX('Annex 2 EHV charges'!$D$10:$D$259, MATCH(0, IF(ISBLANK('Annex 2 EHV charges'!$D$10:$D$259),1, COUNTIF(A$4:$A166, 'Annex 2 EHV charges'!$D$10:$D$259)), 0)),"")</f>
        <v/>
      </c>
      <c r="B167" s="91" t="str">
        <f>IF($A167="","",VLOOKUP($A167,'Annex 2 EHV charges'!$D:$O,2,0))</f>
        <v/>
      </c>
      <c r="C167" s="92" t="str">
        <f>IF($A167="","",VLOOKUP($A167,'Annex 2 EHV charges'!$D:$O,3,0))</f>
        <v/>
      </c>
      <c r="D167" s="91" t="str">
        <f>IF($A167="","",VLOOKUP($A167,'Annex 2 EHV charges'!$D:$O,4,0))</f>
        <v/>
      </c>
      <c r="E167" s="93" t="str">
        <f>IFERROR(IF(VLOOKUP($A167,'Annex 2 EHV charges'!$D:$O,9,FALSE)=0,"",VLOOKUP($A167,'Annex 2 EHV charges'!$D:$O,9,FALSE)),"")</f>
        <v/>
      </c>
      <c r="F167" s="94" t="str">
        <f>IFERROR(IF(VLOOKUP($A167,'Annex 2 EHV charges'!$D:$O,10,FALSE)=0,"",VLOOKUP($A167,'Annex 2 EHV charges'!$D:$O,10,FALSE)),"")</f>
        <v/>
      </c>
      <c r="G167" s="95" t="str">
        <f>IFERROR(IF(VLOOKUP($A167,'Annex 2 EHV charges'!$D:$O,11,FALSE)=0,"",VLOOKUP($A167,'Annex 2 EHV charges'!$D:$O,11,FALSE)),"")</f>
        <v/>
      </c>
      <c r="H167" s="95" t="str">
        <f>IFERROR(IF(VLOOKUP($A167,'Annex 2 EHV charges'!$D:$O,12,FALSE)=0,"",VLOOKUP($A167,'Annex 2 EHV charges'!$D:$O,12,FALSE)),"")</f>
        <v/>
      </c>
    </row>
    <row r="168" spans="1:8" x14ac:dyDescent="0.2">
      <c r="A168" s="92" t="str">
        <f t="array" ref="A168">IFERROR(INDEX('Annex 2 EHV charges'!$D$10:$D$259, MATCH(0, IF(ISBLANK('Annex 2 EHV charges'!$D$10:$D$259),1, COUNTIF(A$4:$A167, 'Annex 2 EHV charges'!$D$10:$D$259)), 0)),"")</f>
        <v/>
      </c>
      <c r="B168" s="91" t="str">
        <f>IF($A168="","",VLOOKUP($A168,'Annex 2 EHV charges'!$D:$O,2,0))</f>
        <v/>
      </c>
      <c r="C168" s="92" t="str">
        <f>IF($A168="","",VLOOKUP($A168,'Annex 2 EHV charges'!$D:$O,3,0))</f>
        <v/>
      </c>
      <c r="D168" s="91" t="str">
        <f>IF($A168="","",VLOOKUP($A168,'Annex 2 EHV charges'!$D:$O,4,0))</f>
        <v/>
      </c>
      <c r="E168" s="93" t="str">
        <f>IFERROR(IF(VLOOKUP($A168,'Annex 2 EHV charges'!$D:$O,9,FALSE)=0,"",VLOOKUP($A168,'Annex 2 EHV charges'!$D:$O,9,FALSE)),"")</f>
        <v/>
      </c>
      <c r="F168" s="94" t="str">
        <f>IFERROR(IF(VLOOKUP($A168,'Annex 2 EHV charges'!$D:$O,10,FALSE)=0,"",VLOOKUP($A168,'Annex 2 EHV charges'!$D:$O,10,FALSE)),"")</f>
        <v/>
      </c>
      <c r="G168" s="95" t="str">
        <f>IFERROR(IF(VLOOKUP($A168,'Annex 2 EHV charges'!$D:$O,11,FALSE)=0,"",VLOOKUP($A168,'Annex 2 EHV charges'!$D:$O,11,FALSE)),"")</f>
        <v/>
      </c>
      <c r="H168" s="95" t="str">
        <f>IFERROR(IF(VLOOKUP($A168,'Annex 2 EHV charges'!$D:$O,12,FALSE)=0,"",VLOOKUP($A168,'Annex 2 EHV charges'!$D:$O,12,FALSE)),"")</f>
        <v/>
      </c>
    </row>
    <row r="169" spans="1:8" x14ac:dyDescent="0.2">
      <c r="A169" s="92" t="str">
        <f t="array" ref="A169">IFERROR(INDEX('Annex 2 EHV charges'!$D$10:$D$259, MATCH(0, IF(ISBLANK('Annex 2 EHV charges'!$D$10:$D$259),1, COUNTIF(A$4:$A168, 'Annex 2 EHV charges'!$D$10:$D$259)), 0)),"")</f>
        <v/>
      </c>
      <c r="B169" s="91" t="str">
        <f>IF($A169="","",VLOOKUP($A169,'Annex 2 EHV charges'!$D:$O,2,0))</f>
        <v/>
      </c>
      <c r="C169" s="92" t="str">
        <f>IF($A169="","",VLOOKUP($A169,'Annex 2 EHV charges'!$D:$O,3,0))</f>
        <v/>
      </c>
      <c r="D169" s="91" t="str">
        <f>IF($A169="","",VLOOKUP($A169,'Annex 2 EHV charges'!$D:$O,4,0))</f>
        <v/>
      </c>
      <c r="E169" s="93" t="str">
        <f>IFERROR(IF(VLOOKUP($A169,'Annex 2 EHV charges'!$D:$O,9,FALSE)=0,"",VLOOKUP($A169,'Annex 2 EHV charges'!$D:$O,9,FALSE)),"")</f>
        <v/>
      </c>
      <c r="F169" s="94" t="str">
        <f>IFERROR(IF(VLOOKUP($A169,'Annex 2 EHV charges'!$D:$O,10,FALSE)=0,"",VLOOKUP($A169,'Annex 2 EHV charges'!$D:$O,10,FALSE)),"")</f>
        <v/>
      </c>
      <c r="G169" s="95" t="str">
        <f>IFERROR(IF(VLOOKUP($A169,'Annex 2 EHV charges'!$D:$O,11,FALSE)=0,"",VLOOKUP($A169,'Annex 2 EHV charges'!$D:$O,11,FALSE)),"")</f>
        <v/>
      </c>
      <c r="H169" s="95" t="str">
        <f>IFERROR(IF(VLOOKUP($A169,'Annex 2 EHV charges'!$D:$O,12,FALSE)=0,"",VLOOKUP($A169,'Annex 2 EHV charges'!$D:$O,12,FALSE)),"")</f>
        <v/>
      </c>
    </row>
    <row r="170" spans="1:8" x14ac:dyDescent="0.2">
      <c r="A170" s="92" t="str">
        <f t="array" ref="A170">IFERROR(INDEX('Annex 2 EHV charges'!$D$10:$D$259, MATCH(0, IF(ISBLANK('Annex 2 EHV charges'!$D$10:$D$259),1, COUNTIF(A$4:$A169, 'Annex 2 EHV charges'!$D$10:$D$259)), 0)),"")</f>
        <v/>
      </c>
      <c r="B170" s="91" t="str">
        <f>IF($A170="","",VLOOKUP($A170,'Annex 2 EHV charges'!$D:$O,2,0))</f>
        <v/>
      </c>
      <c r="C170" s="92" t="str">
        <f>IF($A170="","",VLOOKUP($A170,'Annex 2 EHV charges'!$D:$O,3,0))</f>
        <v/>
      </c>
      <c r="D170" s="91" t="str">
        <f>IF($A170="","",VLOOKUP($A170,'Annex 2 EHV charges'!$D:$O,4,0))</f>
        <v/>
      </c>
      <c r="E170" s="93" t="str">
        <f>IFERROR(IF(VLOOKUP($A170,'Annex 2 EHV charges'!$D:$O,9,FALSE)=0,"",VLOOKUP($A170,'Annex 2 EHV charges'!$D:$O,9,FALSE)),"")</f>
        <v/>
      </c>
      <c r="F170" s="94" t="str">
        <f>IFERROR(IF(VLOOKUP($A170,'Annex 2 EHV charges'!$D:$O,10,FALSE)=0,"",VLOOKUP($A170,'Annex 2 EHV charges'!$D:$O,10,FALSE)),"")</f>
        <v/>
      </c>
      <c r="G170" s="95" t="str">
        <f>IFERROR(IF(VLOOKUP($A170,'Annex 2 EHV charges'!$D:$O,11,FALSE)=0,"",VLOOKUP($A170,'Annex 2 EHV charges'!$D:$O,11,FALSE)),"")</f>
        <v/>
      </c>
      <c r="H170" s="95" t="str">
        <f>IFERROR(IF(VLOOKUP($A170,'Annex 2 EHV charges'!$D:$O,12,FALSE)=0,"",VLOOKUP($A170,'Annex 2 EHV charges'!$D:$O,12,FALSE)),"")</f>
        <v/>
      </c>
    </row>
    <row r="171" spans="1:8" x14ac:dyDescent="0.2">
      <c r="A171" s="92" t="str">
        <f t="array" ref="A171">IFERROR(INDEX('Annex 2 EHV charges'!$D$10:$D$259, MATCH(0, IF(ISBLANK('Annex 2 EHV charges'!$D$10:$D$259),1, COUNTIF(A$4:$A170, 'Annex 2 EHV charges'!$D$10:$D$259)), 0)),"")</f>
        <v/>
      </c>
      <c r="B171" s="91" t="str">
        <f>IF($A171="","",VLOOKUP($A171,'Annex 2 EHV charges'!$D:$O,2,0))</f>
        <v/>
      </c>
      <c r="C171" s="92" t="str">
        <f>IF($A171="","",VLOOKUP($A171,'Annex 2 EHV charges'!$D:$O,3,0))</f>
        <v/>
      </c>
      <c r="D171" s="91" t="str">
        <f>IF($A171="","",VLOOKUP($A171,'Annex 2 EHV charges'!$D:$O,4,0))</f>
        <v/>
      </c>
      <c r="E171" s="93" t="str">
        <f>IFERROR(IF(VLOOKUP($A171,'Annex 2 EHV charges'!$D:$O,9,FALSE)=0,"",VLOOKUP($A171,'Annex 2 EHV charges'!$D:$O,9,FALSE)),"")</f>
        <v/>
      </c>
      <c r="F171" s="94" t="str">
        <f>IFERROR(IF(VLOOKUP($A171,'Annex 2 EHV charges'!$D:$O,10,FALSE)=0,"",VLOOKUP($A171,'Annex 2 EHV charges'!$D:$O,10,FALSE)),"")</f>
        <v/>
      </c>
      <c r="G171" s="95" t="str">
        <f>IFERROR(IF(VLOOKUP($A171,'Annex 2 EHV charges'!$D:$O,11,FALSE)=0,"",VLOOKUP($A171,'Annex 2 EHV charges'!$D:$O,11,FALSE)),"")</f>
        <v/>
      </c>
      <c r="H171" s="95" t="str">
        <f>IFERROR(IF(VLOOKUP($A171,'Annex 2 EHV charges'!$D:$O,12,FALSE)=0,"",VLOOKUP($A171,'Annex 2 EHV charges'!$D:$O,12,FALSE)),"")</f>
        <v/>
      </c>
    </row>
    <row r="172" spans="1:8" x14ac:dyDescent="0.2">
      <c r="A172" s="92" t="str">
        <f t="array" ref="A172">IFERROR(INDEX('Annex 2 EHV charges'!$D$10:$D$259, MATCH(0, IF(ISBLANK('Annex 2 EHV charges'!$D$10:$D$259),1, COUNTIF(A$4:$A171, 'Annex 2 EHV charges'!$D$10:$D$259)), 0)),"")</f>
        <v/>
      </c>
      <c r="B172" s="91" t="str">
        <f>IF($A172="","",VLOOKUP($A172,'Annex 2 EHV charges'!$D:$O,2,0))</f>
        <v/>
      </c>
      <c r="C172" s="92" t="str">
        <f>IF($A172="","",VLOOKUP($A172,'Annex 2 EHV charges'!$D:$O,3,0))</f>
        <v/>
      </c>
      <c r="D172" s="91" t="str">
        <f>IF($A172="","",VLOOKUP($A172,'Annex 2 EHV charges'!$D:$O,4,0))</f>
        <v/>
      </c>
      <c r="E172" s="93" t="str">
        <f>IFERROR(IF(VLOOKUP($A172,'Annex 2 EHV charges'!$D:$O,9,FALSE)=0,"",VLOOKUP($A172,'Annex 2 EHV charges'!$D:$O,9,FALSE)),"")</f>
        <v/>
      </c>
      <c r="F172" s="94" t="str">
        <f>IFERROR(IF(VLOOKUP($A172,'Annex 2 EHV charges'!$D:$O,10,FALSE)=0,"",VLOOKUP($A172,'Annex 2 EHV charges'!$D:$O,10,FALSE)),"")</f>
        <v/>
      </c>
      <c r="G172" s="95" t="str">
        <f>IFERROR(IF(VLOOKUP($A172,'Annex 2 EHV charges'!$D:$O,11,FALSE)=0,"",VLOOKUP($A172,'Annex 2 EHV charges'!$D:$O,11,FALSE)),"")</f>
        <v/>
      </c>
      <c r="H172" s="95" t="str">
        <f>IFERROR(IF(VLOOKUP($A172,'Annex 2 EHV charges'!$D:$O,12,FALSE)=0,"",VLOOKUP($A172,'Annex 2 EHV charges'!$D:$O,12,FALSE)),"")</f>
        <v/>
      </c>
    </row>
    <row r="173" spans="1:8" x14ac:dyDescent="0.2">
      <c r="A173" s="92" t="str">
        <f t="array" ref="A173">IFERROR(INDEX('Annex 2 EHV charges'!$D$10:$D$259, MATCH(0, IF(ISBLANK('Annex 2 EHV charges'!$D$10:$D$259),1, COUNTIF(A$4:$A172, 'Annex 2 EHV charges'!$D$10:$D$259)), 0)),"")</f>
        <v/>
      </c>
      <c r="B173" s="91" t="str">
        <f>IF($A173="","",VLOOKUP($A173,'Annex 2 EHV charges'!$D:$O,2,0))</f>
        <v/>
      </c>
      <c r="C173" s="92" t="str">
        <f>IF($A173="","",VLOOKUP($A173,'Annex 2 EHV charges'!$D:$O,3,0))</f>
        <v/>
      </c>
      <c r="D173" s="91" t="str">
        <f>IF($A173="","",VLOOKUP($A173,'Annex 2 EHV charges'!$D:$O,4,0))</f>
        <v/>
      </c>
      <c r="E173" s="93" t="str">
        <f>IFERROR(IF(VLOOKUP($A173,'Annex 2 EHV charges'!$D:$O,9,FALSE)=0,"",VLOOKUP($A173,'Annex 2 EHV charges'!$D:$O,9,FALSE)),"")</f>
        <v/>
      </c>
      <c r="F173" s="94" t="str">
        <f>IFERROR(IF(VLOOKUP($A173,'Annex 2 EHV charges'!$D:$O,10,FALSE)=0,"",VLOOKUP($A173,'Annex 2 EHV charges'!$D:$O,10,FALSE)),"")</f>
        <v/>
      </c>
      <c r="G173" s="95" t="str">
        <f>IFERROR(IF(VLOOKUP($A173,'Annex 2 EHV charges'!$D:$O,11,FALSE)=0,"",VLOOKUP($A173,'Annex 2 EHV charges'!$D:$O,11,FALSE)),"")</f>
        <v/>
      </c>
      <c r="H173" s="95" t="str">
        <f>IFERROR(IF(VLOOKUP($A173,'Annex 2 EHV charges'!$D:$O,12,FALSE)=0,"",VLOOKUP($A173,'Annex 2 EHV charges'!$D:$O,12,FALSE)),"")</f>
        <v/>
      </c>
    </row>
    <row r="174" spans="1:8" x14ac:dyDescent="0.2">
      <c r="A174" s="92" t="str">
        <f t="array" ref="A174">IFERROR(INDEX('Annex 2 EHV charges'!$D$10:$D$259, MATCH(0, IF(ISBLANK('Annex 2 EHV charges'!$D$10:$D$259),1, COUNTIF(A$4:$A173, 'Annex 2 EHV charges'!$D$10:$D$259)), 0)),"")</f>
        <v/>
      </c>
      <c r="B174" s="91" t="str">
        <f>IF($A174="","",VLOOKUP($A174,'Annex 2 EHV charges'!$D:$O,2,0))</f>
        <v/>
      </c>
      <c r="C174" s="92" t="str">
        <f>IF($A174="","",VLOOKUP($A174,'Annex 2 EHV charges'!$D:$O,3,0))</f>
        <v/>
      </c>
      <c r="D174" s="91" t="str">
        <f>IF($A174="","",VLOOKUP($A174,'Annex 2 EHV charges'!$D:$O,4,0))</f>
        <v/>
      </c>
      <c r="E174" s="93" t="str">
        <f>IFERROR(IF(VLOOKUP($A174,'Annex 2 EHV charges'!$D:$O,9,FALSE)=0,"",VLOOKUP($A174,'Annex 2 EHV charges'!$D:$O,9,FALSE)),"")</f>
        <v/>
      </c>
      <c r="F174" s="94" t="str">
        <f>IFERROR(IF(VLOOKUP($A174,'Annex 2 EHV charges'!$D:$O,10,FALSE)=0,"",VLOOKUP($A174,'Annex 2 EHV charges'!$D:$O,10,FALSE)),"")</f>
        <v/>
      </c>
      <c r="G174" s="95" t="str">
        <f>IFERROR(IF(VLOOKUP($A174,'Annex 2 EHV charges'!$D:$O,11,FALSE)=0,"",VLOOKUP($A174,'Annex 2 EHV charges'!$D:$O,11,FALSE)),"")</f>
        <v/>
      </c>
      <c r="H174" s="95" t="str">
        <f>IFERROR(IF(VLOOKUP($A174,'Annex 2 EHV charges'!$D:$O,12,FALSE)=0,"",VLOOKUP($A174,'Annex 2 EHV charges'!$D:$O,12,FALSE)),"")</f>
        <v/>
      </c>
    </row>
    <row r="175" spans="1:8" x14ac:dyDescent="0.2">
      <c r="A175" s="92" t="str">
        <f t="array" ref="A175">IFERROR(INDEX('Annex 2 EHV charges'!$D$10:$D$259, MATCH(0, IF(ISBLANK('Annex 2 EHV charges'!$D$10:$D$259),1, COUNTIF(A$4:$A174, 'Annex 2 EHV charges'!$D$10:$D$259)), 0)),"")</f>
        <v/>
      </c>
      <c r="B175" s="91" t="str">
        <f>IF($A175="","",VLOOKUP($A175,'Annex 2 EHV charges'!$D:$O,2,0))</f>
        <v/>
      </c>
      <c r="C175" s="92" t="str">
        <f>IF($A175="","",VLOOKUP($A175,'Annex 2 EHV charges'!$D:$O,3,0))</f>
        <v/>
      </c>
      <c r="D175" s="91" t="str">
        <f>IF($A175="","",VLOOKUP($A175,'Annex 2 EHV charges'!$D:$O,4,0))</f>
        <v/>
      </c>
      <c r="E175" s="93" t="str">
        <f>IFERROR(IF(VLOOKUP($A175,'Annex 2 EHV charges'!$D:$O,9,FALSE)=0,"",VLOOKUP($A175,'Annex 2 EHV charges'!$D:$O,9,FALSE)),"")</f>
        <v/>
      </c>
      <c r="F175" s="94" t="str">
        <f>IFERROR(IF(VLOOKUP($A175,'Annex 2 EHV charges'!$D:$O,10,FALSE)=0,"",VLOOKUP($A175,'Annex 2 EHV charges'!$D:$O,10,FALSE)),"")</f>
        <v/>
      </c>
      <c r="G175" s="95" t="str">
        <f>IFERROR(IF(VLOOKUP($A175,'Annex 2 EHV charges'!$D:$O,11,FALSE)=0,"",VLOOKUP($A175,'Annex 2 EHV charges'!$D:$O,11,FALSE)),"")</f>
        <v/>
      </c>
      <c r="H175" s="95" t="str">
        <f>IFERROR(IF(VLOOKUP($A175,'Annex 2 EHV charges'!$D:$O,12,FALSE)=0,"",VLOOKUP($A175,'Annex 2 EHV charges'!$D:$O,12,FALSE)),"")</f>
        <v/>
      </c>
    </row>
    <row r="176" spans="1:8" x14ac:dyDescent="0.2">
      <c r="A176" s="92" t="str">
        <f t="array" ref="A176">IFERROR(INDEX('Annex 2 EHV charges'!$D$10:$D$259, MATCH(0, IF(ISBLANK('Annex 2 EHV charges'!$D$10:$D$259),1, COUNTIF(A$4:$A175, 'Annex 2 EHV charges'!$D$10:$D$259)), 0)),"")</f>
        <v/>
      </c>
      <c r="B176" s="91" t="str">
        <f>IF($A176="","",VLOOKUP($A176,'Annex 2 EHV charges'!$D:$O,2,0))</f>
        <v/>
      </c>
      <c r="C176" s="92" t="str">
        <f>IF($A176="","",VLOOKUP($A176,'Annex 2 EHV charges'!$D:$O,3,0))</f>
        <v/>
      </c>
      <c r="D176" s="91" t="str">
        <f>IF($A176="","",VLOOKUP($A176,'Annex 2 EHV charges'!$D:$O,4,0))</f>
        <v/>
      </c>
      <c r="E176" s="93" t="str">
        <f>IFERROR(IF(VLOOKUP($A176,'Annex 2 EHV charges'!$D:$O,9,FALSE)=0,"",VLOOKUP($A176,'Annex 2 EHV charges'!$D:$O,9,FALSE)),"")</f>
        <v/>
      </c>
      <c r="F176" s="94" t="str">
        <f>IFERROR(IF(VLOOKUP($A176,'Annex 2 EHV charges'!$D:$O,10,FALSE)=0,"",VLOOKUP($A176,'Annex 2 EHV charges'!$D:$O,10,FALSE)),"")</f>
        <v/>
      </c>
      <c r="G176" s="95" t="str">
        <f>IFERROR(IF(VLOOKUP($A176,'Annex 2 EHV charges'!$D:$O,11,FALSE)=0,"",VLOOKUP($A176,'Annex 2 EHV charges'!$D:$O,11,FALSE)),"")</f>
        <v/>
      </c>
      <c r="H176" s="95" t="str">
        <f>IFERROR(IF(VLOOKUP($A176,'Annex 2 EHV charges'!$D:$O,12,FALSE)=0,"",VLOOKUP($A176,'Annex 2 EHV charges'!$D:$O,12,FALSE)),"")</f>
        <v/>
      </c>
    </row>
    <row r="177" spans="1:8" x14ac:dyDescent="0.2">
      <c r="A177" s="92" t="str">
        <f t="array" ref="A177">IFERROR(INDEX('Annex 2 EHV charges'!$D$10:$D$259, MATCH(0, IF(ISBLANK('Annex 2 EHV charges'!$D$10:$D$259),1, COUNTIF(A$4:$A176, 'Annex 2 EHV charges'!$D$10:$D$259)), 0)),"")</f>
        <v/>
      </c>
      <c r="B177" s="91" t="str">
        <f>IF($A177="","",VLOOKUP($A177,'Annex 2 EHV charges'!$D:$O,2,0))</f>
        <v/>
      </c>
      <c r="C177" s="92" t="str">
        <f>IF($A177="","",VLOOKUP($A177,'Annex 2 EHV charges'!$D:$O,3,0))</f>
        <v/>
      </c>
      <c r="D177" s="91" t="str">
        <f>IF($A177="","",VLOOKUP($A177,'Annex 2 EHV charges'!$D:$O,4,0))</f>
        <v/>
      </c>
      <c r="E177" s="93" t="str">
        <f>IFERROR(IF(VLOOKUP($A177,'Annex 2 EHV charges'!$D:$O,9,FALSE)=0,"",VLOOKUP($A177,'Annex 2 EHV charges'!$D:$O,9,FALSE)),"")</f>
        <v/>
      </c>
      <c r="F177" s="94" t="str">
        <f>IFERROR(IF(VLOOKUP($A177,'Annex 2 EHV charges'!$D:$O,10,FALSE)=0,"",VLOOKUP($A177,'Annex 2 EHV charges'!$D:$O,10,FALSE)),"")</f>
        <v/>
      </c>
      <c r="G177" s="95" t="str">
        <f>IFERROR(IF(VLOOKUP($A177,'Annex 2 EHV charges'!$D:$O,11,FALSE)=0,"",VLOOKUP($A177,'Annex 2 EHV charges'!$D:$O,11,FALSE)),"")</f>
        <v/>
      </c>
      <c r="H177" s="95" t="str">
        <f>IFERROR(IF(VLOOKUP($A177,'Annex 2 EHV charges'!$D:$O,12,FALSE)=0,"",VLOOKUP($A177,'Annex 2 EHV charges'!$D:$O,12,FALSE)),"")</f>
        <v/>
      </c>
    </row>
    <row r="178" spans="1:8" x14ac:dyDescent="0.2">
      <c r="A178" s="92" t="str">
        <f t="array" ref="A178">IFERROR(INDEX('Annex 2 EHV charges'!$D$10:$D$259, MATCH(0, IF(ISBLANK('Annex 2 EHV charges'!$D$10:$D$259),1, COUNTIF(A$4:$A177, 'Annex 2 EHV charges'!$D$10:$D$259)), 0)),"")</f>
        <v/>
      </c>
      <c r="B178" s="91" t="str">
        <f>IF($A178="","",VLOOKUP($A178,'Annex 2 EHV charges'!$D:$O,2,0))</f>
        <v/>
      </c>
      <c r="C178" s="92" t="str">
        <f>IF($A178="","",VLOOKUP($A178,'Annex 2 EHV charges'!$D:$O,3,0))</f>
        <v/>
      </c>
      <c r="D178" s="91" t="str">
        <f>IF($A178="","",VLOOKUP($A178,'Annex 2 EHV charges'!$D:$O,4,0))</f>
        <v/>
      </c>
      <c r="E178" s="93" t="str">
        <f>IFERROR(IF(VLOOKUP($A178,'Annex 2 EHV charges'!$D:$O,9,FALSE)=0,"",VLOOKUP($A178,'Annex 2 EHV charges'!$D:$O,9,FALSE)),"")</f>
        <v/>
      </c>
      <c r="F178" s="94" t="str">
        <f>IFERROR(IF(VLOOKUP($A178,'Annex 2 EHV charges'!$D:$O,10,FALSE)=0,"",VLOOKUP($A178,'Annex 2 EHV charges'!$D:$O,10,FALSE)),"")</f>
        <v/>
      </c>
      <c r="G178" s="95" t="str">
        <f>IFERROR(IF(VLOOKUP($A178,'Annex 2 EHV charges'!$D:$O,11,FALSE)=0,"",VLOOKUP($A178,'Annex 2 EHV charges'!$D:$O,11,FALSE)),"")</f>
        <v/>
      </c>
      <c r="H178" s="95" t="str">
        <f>IFERROR(IF(VLOOKUP($A178,'Annex 2 EHV charges'!$D:$O,12,FALSE)=0,"",VLOOKUP($A178,'Annex 2 EHV charges'!$D:$O,12,FALSE)),"")</f>
        <v/>
      </c>
    </row>
    <row r="179" spans="1:8" x14ac:dyDescent="0.2">
      <c r="A179" s="92" t="str">
        <f t="array" ref="A179">IFERROR(INDEX('Annex 2 EHV charges'!$D$10:$D$259, MATCH(0, IF(ISBLANK('Annex 2 EHV charges'!$D$10:$D$259),1, COUNTIF(A$4:$A178, 'Annex 2 EHV charges'!$D$10:$D$259)), 0)),"")</f>
        <v/>
      </c>
      <c r="B179" s="91" t="str">
        <f>IF($A179="","",VLOOKUP($A179,'Annex 2 EHV charges'!$D:$O,2,0))</f>
        <v/>
      </c>
      <c r="C179" s="92" t="str">
        <f>IF($A179="","",VLOOKUP($A179,'Annex 2 EHV charges'!$D:$O,3,0))</f>
        <v/>
      </c>
      <c r="D179" s="91" t="str">
        <f>IF($A179="","",VLOOKUP($A179,'Annex 2 EHV charges'!$D:$O,4,0))</f>
        <v/>
      </c>
      <c r="E179" s="93" t="str">
        <f>IFERROR(IF(VLOOKUP($A179,'Annex 2 EHV charges'!$D:$O,9,FALSE)=0,"",VLOOKUP($A179,'Annex 2 EHV charges'!$D:$O,9,FALSE)),"")</f>
        <v/>
      </c>
      <c r="F179" s="94" t="str">
        <f>IFERROR(IF(VLOOKUP($A179,'Annex 2 EHV charges'!$D:$O,10,FALSE)=0,"",VLOOKUP($A179,'Annex 2 EHV charges'!$D:$O,10,FALSE)),"")</f>
        <v/>
      </c>
      <c r="G179" s="95" t="str">
        <f>IFERROR(IF(VLOOKUP($A179,'Annex 2 EHV charges'!$D:$O,11,FALSE)=0,"",VLOOKUP($A179,'Annex 2 EHV charges'!$D:$O,11,FALSE)),"")</f>
        <v/>
      </c>
      <c r="H179" s="95" t="str">
        <f>IFERROR(IF(VLOOKUP($A179,'Annex 2 EHV charges'!$D:$O,12,FALSE)=0,"",VLOOKUP($A179,'Annex 2 EHV charges'!$D:$O,12,FALSE)),"")</f>
        <v/>
      </c>
    </row>
    <row r="180" spans="1:8" x14ac:dyDescent="0.2">
      <c r="A180" s="92" t="str">
        <f t="array" ref="A180">IFERROR(INDEX('Annex 2 EHV charges'!$D$10:$D$259, MATCH(0, IF(ISBLANK('Annex 2 EHV charges'!$D$10:$D$259),1, COUNTIF(A$4:$A179, 'Annex 2 EHV charges'!$D$10:$D$259)), 0)),"")</f>
        <v/>
      </c>
      <c r="B180" s="91" t="str">
        <f>IF($A180="","",VLOOKUP($A180,'Annex 2 EHV charges'!$D:$O,2,0))</f>
        <v/>
      </c>
      <c r="C180" s="92" t="str">
        <f>IF($A180="","",VLOOKUP($A180,'Annex 2 EHV charges'!$D:$O,3,0))</f>
        <v/>
      </c>
      <c r="D180" s="91" t="str">
        <f>IF($A180="","",VLOOKUP($A180,'Annex 2 EHV charges'!$D:$O,4,0))</f>
        <v/>
      </c>
      <c r="E180" s="93" t="str">
        <f>IFERROR(IF(VLOOKUP($A180,'Annex 2 EHV charges'!$D:$O,9,FALSE)=0,"",VLOOKUP($A180,'Annex 2 EHV charges'!$D:$O,9,FALSE)),"")</f>
        <v/>
      </c>
      <c r="F180" s="94" t="str">
        <f>IFERROR(IF(VLOOKUP($A180,'Annex 2 EHV charges'!$D:$O,10,FALSE)=0,"",VLOOKUP($A180,'Annex 2 EHV charges'!$D:$O,10,FALSE)),"")</f>
        <v/>
      </c>
      <c r="G180" s="95" t="str">
        <f>IFERROR(IF(VLOOKUP($A180,'Annex 2 EHV charges'!$D:$O,11,FALSE)=0,"",VLOOKUP($A180,'Annex 2 EHV charges'!$D:$O,11,FALSE)),"")</f>
        <v/>
      </c>
      <c r="H180" s="95" t="str">
        <f>IFERROR(IF(VLOOKUP($A180,'Annex 2 EHV charges'!$D:$O,12,FALSE)=0,"",VLOOKUP($A180,'Annex 2 EHV charges'!$D:$O,12,FALSE)),"")</f>
        <v/>
      </c>
    </row>
    <row r="181" spans="1:8" x14ac:dyDescent="0.2">
      <c r="A181" s="92" t="str">
        <f t="array" ref="A181">IFERROR(INDEX('Annex 2 EHV charges'!$D$10:$D$259, MATCH(0, IF(ISBLANK('Annex 2 EHV charges'!$D$10:$D$259),1, COUNTIF(A$4:$A180, 'Annex 2 EHV charges'!$D$10:$D$259)), 0)),"")</f>
        <v/>
      </c>
      <c r="B181" s="91" t="str">
        <f>IF($A181="","",VLOOKUP($A181,'Annex 2 EHV charges'!$D:$O,2,0))</f>
        <v/>
      </c>
      <c r="C181" s="92" t="str">
        <f>IF($A181="","",VLOOKUP($A181,'Annex 2 EHV charges'!$D:$O,3,0))</f>
        <v/>
      </c>
      <c r="D181" s="91" t="str">
        <f>IF($A181="","",VLOOKUP($A181,'Annex 2 EHV charges'!$D:$O,4,0))</f>
        <v/>
      </c>
      <c r="E181" s="93" t="str">
        <f>IFERROR(IF(VLOOKUP($A181,'Annex 2 EHV charges'!$D:$O,9,FALSE)=0,"",VLOOKUP($A181,'Annex 2 EHV charges'!$D:$O,9,FALSE)),"")</f>
        <v/>
      </c>
      <c r="F181" s="94" t="str">
        <f>IFERROR(IF(VLOOKUP($A181,'Annex 2 EHV charges'!$D:$O,10,FALSE)=0,"",VLOOKUP($A181,'Annex 2 EHV charges'!$D:$O,10,FALSE)),"")</f>
        <v/>
      </c>
      <c r="G181" s="95" t="str">
        <f>IFERROR(IF(VLOOKUP($A181,'Annex 2 EHV charges'!$D:$O,11,FALSE)=0,"",VLOOKUP($A181,'Annex 2 EHV charges'!$D:$O,11,FALSE)),"")</f>
        <v/>
      </c>
      <c r="H181" s="95" t="str">
        <f>IFERROR(IF(VLOOKUP($A181,'Annex 2 EHV charges'!$D:$O,12,FALSE)=0,"",VLOOKUP($A181,'Annex 2 EHV charges'!$D:$O,12,FALSE)),"")</f>
        <v/>
      </c>
    </row>
    <row r="182" spans="1:8" x14ac:dyDescent="0.2">
      <c r="A182" s="92" t="str">
        <f t="array" ref="A182">IFERROR(INDEX('Annex 2 EHV charges'!$D$10:$D$259, MATCH(0, IF(ISBLANK('Annex 2 EHV charges'!$D$10:$D$259),1, COUNTIF(A$4:$A181, 'Annex 2 EHV charges'!$D$10:$D$259)), 0)),"")</f>
        <v/>
      </c>
      <c r="B182" s="91" t="str">
        <f>IF($A182="","",VLOOKUP($A182,'Annex 2 EHV charges'!$D:$O,2,0))</f>
        <v/>
      </c>
      <c r="C182" s="92" t="str">
        <f>IF($A182="","",VLOOKUP($A182,'Annex 2 EHV charges'!$D:$O,3,0))</f>
        <v/>
      </c>
      <c r="D182" s="91" t="str">
        <f>IF($A182="","",VLOOKUP($A182,'Annex 2 EHV charges'!$D:$O,4,0))</f>
        <v/>
      </c>
      <c r="E182" s="93" t="str">
        <f>IFERROR(IF(VLOOKUP($A182,'Annex 2 EHV charges'!$D:$O,9,FALSE)=0,"",VLOOKUP($A182,'Annex 2 EHV charges'!$D:$O,9,FALSE)),"")</f>
        <v/>
      </c>
      <c r="F182" s="94" t="str">
        <f>IFERROR(IF(VLOOKUP($A182,'Annex 2 EHV charges'!$D:$O,10,FALSE)=0,"",VLOOKUP($A182,'Annex 2 EHV charges'!$D:$O,10,FALSE)),"")</f>
        <v/>
      </c>
      <c r="G182" s="95" t="str">
        <f>IFERROR(IF(VLOOKUP($A182,'Annex 2 EHV charges'!$D:$O,11,FALSE)=0,"",VLOOKUP($A182,'Annex 2 EHV charges'!$D:$O,11,FALSE)),"")</f>
        <v/>
      </c>
      <c r="H182" s="95" t="str">
        <f>IFERROR(IF(VLOOKUP($A182,'Annex 2 EHV charges'!$D:$O,12,FALSE)=0,"",VLOOKUP($A182,'Annex 2 EHV charges'!$D:$O,12,FALSE)),"")</f>
        <v/>
      </c>
    </row>
    <row r="183" spans="1:8" x14ac:dyDescent="0.2">
      <c r="A183" s="92" t="str">
        <f t="array" ref="A183">IFERROR(INDEX('Annex 2 EHV charges'!$D$10:$D$259, MATCH(0, IF(ISBLANK('Annex 2 EHV charges'!$D$10:$D$259),1, COUNTIF(A$4:$A182, 'Annex 2 EHV charges'!$D$10:$D$259)), 0)),"")</f>
        <v/>
      </c>
      <c r="B183" s="91" t="str">
        <f>IF($A183="","",VLOOKUP($A183,'Annex 2 EHV charges'!$D:$O,2,0))</f>
        <v/>
      </c>
      <c r="C183" s="92" t="str">
        <f>IF($A183="","",VLOOKUP($A183,'Annex 2 EHV charges'!$D:$O,3,0))</f>
        <v/>
      </c>
      <c r="D183" s="91" t="str">
        <f>IF($A183="","",VLOOKUP($A183,'Annex 2 EHV charges'!$D:$O,4,0))</f>
        <v/>
      </c>
      <c r="E183" s="93" t="str">
        <f>IFERROR(IF(VLOOKUP($A183,'Annex 2 EHV charges'!$D:$O,9,FALSE)=0,"",VLOOKUP($A183,'Annex 2 EHV charges'!$D:$O,9,FALSE)),"")</f>
        <v/>
      </c>
      <c r="F183" s="94" t="str">
        <f>IFERROR(IF(VLOOKUP($A183,'Annex 2 EHV charges'!$D:$O,10,FALSE)=0,"",VLOOKUP($A183,'Annex 2 EHV charges'!$D:$O,10,FALSE)),"")</f>
        <v/>
      </c>
      <c r="G183" s="95" t="str">
        <f>IFERROR(IF(VLOOKUP($A183,'Annex 2 EHV charges'!$D:$O,11,FALSE)=0,"",VLOOKUP($A183,'Annex 2 EHV charges'!$D:$O,11,FALSE)),"")</f>
        <v/>
      </c>
      <c r="H183" s="95" t="str">
        <f>IFERROR(IF(VLOOKUP($A183,'Annex 2 EHV charges'!$D:$O,12,FALSE)=0,"",VLOOKUP($A183,'Annex 2 EHV charges'!$D:$O,12,FALSE)),"")</f>
        <v/>
      </c>
    </row>
    <row r="184" spans="1:8" x14ac:dyDescent="0.2">
      <c r="A184" s="92" t="str">
        <f t="array" ref="A184">IFERROR(INDEX('Annex 2 EHV charges'!$D$10:$D$259, MATCH(0, IF(ISBLANK('Annex 2 EHV charges'!$D$10:$D$259),1, COUNTIF(A$4:$A183, 'Annex 2 EHV charges'!$D$10:$D$259)), 0)),"")</f>
        <v/>
      </c>
      <c r="B184" s="91" t="str">
        <f>IF($A184="","",VLOOKUP($A184,'Annex 2 EHV charges'!$D:$O,2,0))</f>
        <v/>
      </c>
      <c r="C184" s="92" t="str">
        <f>IF($A184="","",VLOOKUP($A184,'Annex 2 EHV charges'!$D:$O,3,0))</f>
        <v/>
      </c>
      <c r="D184" s="91" t="str">
        <f>IF($A184="","",VLOOKUP($A184,'Annex 2 EHV charges'!$D:$O,4,0))</f>
        <v/>
      </c>
      <c r="E184" s="93" t="str">
        <f>IFERROR(IF(VLOOKUP($A184,'Annex 2 EHV charges'!$D:$O,9,FALSE)=0,"",VLOOKUP($A184,'Annex 2 EHV charges'!$D:$O,9,FALSE)),"")</f>
        <v/>
      </c>
      <c r="F184" s="94" t="str">
        <f>IFERROR(IF(VLOOKUP($A184,'Annex 2 EHV charges'!$D:$O,10,FALSE)=0,"",VLOOKUP($A184,'Annex 2 EHV charges'!$D:$O,10,FALSE)),"")</f>
        <v/>
      </c>
      <c r="G184" s="95" t="str">
        <f>IFERROR(IF(VLOOKUP($A184,'Annex 2 EHV charges'!$D:$O,11,FALSE)=0,"",VLOOKUP($A184,'Annex 2 EHV charges'!$D:$O,11,FALSE)),"")</f>
        <v/>
      </c>
      <c r="H184" s="95" t="str">
        <f>IFERROR(IF(VLOOKUP($A184,'Annex 2 EHV charges'!$D:$O,12,FALSE)=0,"",VLOOKUP($A184,'Annex 2 EHV charges'!$D:$O,12,FALSE)),"")</f>
        <v/>
      </c>
    </row>
    <row r="185" spans="1:8" x14ac:dyDescent="0.2">
      <c r="A185" s="92" t="str">
        <f t="array" ref="A185">IFERROR(INDEX('Annex 2 EHV charges'!$D$10:$D$259, MATCH(0, IF(ISBLANK('Annex 2 EHV charges'!$D$10:$D$259),1, COUNTIF(A$4:$A184, 'Annex 2 EHV charges'!$D$10:$D$259)), 0)),"")</f>
        <v/>
      </c>
      <c r="B185" s="91" t="str">
        <f>IF($A185="","",VLOOKUP($A185,'Annex 2 EHV charges'!$D:$O,2,0))</f>
        <v/>
      </c>
      <c r="C185" s="92" t="str">
        <f>IF($A185="","",VLOOKUP($A185,'Annex 2 EHV charges'!$D:$O,3,0))</f>
        <v/>
      </c>
      <c r="D185" s="91" t="str">
        <f>IF($A185="","",VLOOKUP($A185,'Annex 2 EHV charges'!$D:$O,4,0))</f>
        <v/>
      </c>
      <c r="E185" s="93" t="str">
        <f>IFERROR(IF(VLOOKUP($A185,'Annex 2 EHV charges'!$D:$O,9,FALSE)=0,"",VLOOKUP($A185,'Annex 2 EHV charges'!$D:$O,9,FALSE)),"")</f>
        <v/>
      </c>
      <c r="F185" s="94" t="str">
        <f>IFERROR(IF(VLOOKUP($A185,'Annex 2 EHV charges'!$D:$O,10,FALSE)=0,"",VLOOKUP($A185,'Annex 2 EHV charges'!$D:$O,10,FALSE)),"")</f>
        <v/>
      </c>
      <c r="G185" s="95" t="str">
        <f>IFERROR(IF(VLOOKUP($A185,'Annex 2 EHV charges'!$D:$O,11,FALSE)=0,"",VLOOKUP($A185,'Annex 2 EHV charges'!$D:$O,11,FALSE)),"")</f>
        <v/>
      </c>
      <c r="H185" s="95" t="str">
        <f>IFERROR(IF(VLOOKUP($A185,'Annex 2 EHV charges'!$D:$O,12,FALSE)=0,"",VLOOKUP($A185,'Annex 2 EHV charges'!$D:$O,12,FALSE)),"")</f>
        <v/>
      </c>
    </row>
    <row r="186" spans="1:8" x14ac:dyDescent="0.2">
      <c r="A186" s="92" t="str">
        <f t="array" ref="A186">IFERROR(INDEX('Annex 2 EHV charges'!$D$10:$D$259, MATCH(0, IF(ISBLANK('Annex 2 EHV charges'!$D$10:$D$259),1, COUNTIF(A$4:$A185, 'Annex 2 EHV charges'!$D$10:$D$259)), 0)),"")</f>
        <v/>
      </c>
      <c r="B186" s="91" t="str">
        <f>IF($A186="","",VLOOKUP($A186,'Annex 2 EHV charges'!$D:$O,2,0))</f>
        <v/>
      </c>
      <c r="C186" s="92" t="str">
        <f>IF($A186="","",VLOOKUP($A186,'Annex 2 EHV charges'!$D:$O,3,0))</f>
        <v/>
      </c>
      <c r="D186" s="91" t="str">
        <f>IF($A186="","",VLOOKUP($A186,'Annex 2 EHV charges'!$D:$O,4,0))</f>
        <v/>
      </c>
      <c r="E186" s="93" t="str">
        <f>IFERROR(IF(VLOOKUP($A186,'Annex 2 EHV charges'!$D:$O,9,FALSE)=0,"",VLOOKUP($A186,'Annex 2 EHV charges'!$D:$O,9,FALSE)),"")</f>
        <v/>
      </c>
      <c r="F186" s="94" t="str">
        <f>IFERROR(IF(VLOOKUP($A186,'Annex 2 EHV charges'!$D:$O,10,FALSE)=0,"",VLOOKUP($A186,'Annex 2 EHV charges'!$D:$O,10,FALSE)),"")</f>
        <v/>
      </c>
      <c r="G186" s="95" t="str">
        <f>IFERROR(IF(VLOOKUP($A186,'Annex 2 EHV charges'!$D:$O,11,FALSE)=0,"",VLOOKUP($A186,'Annex 2 EHV charges'!$D:$O,11,FALSE)),"")</f>
        <v/>
      </c>
      <c r="H186" s="95" t="str">
        <f>IFERROR(IF(VLOOKUP($A186,'Annex 2 EHV charges'!$D:$O,12,FALSE)=0,"",VLOOKUP($A186,'Annex 2 EHV charges'!$D:$O,12,FALSE)),"")</f>
        <v/>
      </c>
    </row>
    <row r="187" spans="1:8" x14ac:dyDescent="0.2">
      <c r="A187" s="92" t="str">
        <f t="array" ref="A187">IFERROR(INDEX('Annex 2 EHV charges'!$D$10:$D$259, MATCH(0, IF(ISBLANK('Annex 2 EHV charges'!$D$10:$D$259),1, COUNTIF(A$4:$A186, 'Annex 2 EHV charges'!$D$10:$D$259)), 0)),"")</f>
        <v/>
      </c>
      <c r="B187" s="91" t="str">
        <f>IF($A187="","",VLOOKUP($A187,'Annex 2 EHV charges'!$D:$O,2,0))</f>
        <v/>
      </c>
      <c r="C187" s="92" t="str">
        <f>IF($A187="","",VLOOKUP($A187,'Annex 2 EHV charges'!$D:$O,3,0))</f>
        <v/>
      </c>
      <c r="D187" s="91" t="str">
        <f>IF($A187="","",VLOOKUP($A187,'Annex 2 EHV charges'!$D:$O,4,0))</f>
        <v/>
      </c>
      <c r="E187" s="93" t="str">
        <f>IFERROR(IF(VLOOKUP($A187,'Annex 2 EHV charges'!$D:$O,9,FALSE)=0,"",VLOOKUP($A187,'Annex 2 EHV charges'!$D:$O,9,FALSE)),"")</f>
        <v/>
      </c>
      <c r="F187" s="94" t="str">
        <f>IFERROR(IF(VLOOKUP($A187,'Annex 2 EHV charges'!$D:$O,10,FALSE)=0,"",VLOOKUP($A187,'Annex 2 EHV charges'!$D:$O,10,FALSE)),"")</f>
        <v/>
      </c>
      <c r="G187" s="95" t="str">
        <f>IFERROR(IF(VLOOKUP($A187,'Annex 2 EHV charges'!$D:$O,11,FALSE)=0,"",VLOOKUP($A187,'Annex 2 EHV charges'!$D:$O,11,FALSE)),"")</f>
        <v/>
      </c>
      <c r="H187" s="95" t="str">
        <f>IFERROR(IF(VLOOKUP($A187,'Annex 2 EHV charges'!$D:$O,12,FALSE)=0,"",VLOOKUP($A187,'Annex 2 EHV charges'!$D:$O,12,FALSE)),"")</f>
        <v/>
      </c>
    </row>
    <row r="188" spans="1:8" x14ac:dyDescent="0.2">
      <c r="A188" s="92" t="str">
        <f t="array" ref="A188">IFERROR(INDEX('Annex 2 EHV charges'!$D$10:$D$259, MATCH(0, IF(ISBLANK('Annex 2 EHV charges'!$D$10:$D$259),1, COUNTIF(A$4:$A187, 'Annex 2 EHV charges'!$D$10:$D$259)), 0)),"")</f>
        <v/>
      </c>
      <c r="B188" s="91" t="str">
        <f>IF($A188="","",VLOOKUP($A188,'Annex 2 EHV charges'!$D:$O,2,0))</f>
        <v/>
      </c>
      <c r="C188" s="92" t="str">
        <f>IF($A188="","",VLOOKUP($A188,'Annex 2 EHV charges'!$D:$O,3,0))</f>
        <v/>
      </c>
      <c r="D188" s="91" t="str">
        <f>IF($A188="","",VLOOKUP($A188,'Annex 2 EHV charges'!$D:$O,4,0))</f>
        <v/>
      </c>
      <c r="E188" s="93" t="str">
        <f>IFERROR(IF(VLOOKUP($A188,'Annex 2 EHV charges'!$D:$O,9,FALSE)=0,"",VLOOKUP($A188,'Annex 2 EHV charges'!$D:$O,9,FALSE)),"")</f>
        <v/>
      </c>
      <c r="F188" s="94" t="str">
        <f>IFERROR(IF(VLOOKUP($A188,'Annex 2 EHV charges'!$D:$O,10,FALSE)=0,"",VLOOKUP($A188,'Annex 2 EHV charges'!$D:$O,10,FALSE)),"")</f>
        <v/>
      </c>
      <c r="G188" s="95" t="str">
        <f>IFERROR(IF(VLOOKUP($A188,'Annex 2 EHV charges'!$D:$O,11,FALSE)=0,"",VLOOKUP($A188,'Annex 2 EHV charges'!$D:$O,11,FALSE)),"")</f>
        <v/>
      </c>
      <c r="H188" s="95" t="str">
        <f>IFERROR(IF(VLOOKUP($A188,'Annex 2 EHV charges'!$D:$O,12,FALSE)=0,"",VLOOKUP($A188,'Annex 2 EHV charges'!$D:$O,12,FALSE)),"")</f>
        <v/>
      </c>
    </row>
    <row r="189" spans="1:8" x14ac:dyDescent="0.2">
      <c r="A189" s="92" t="str">
        <f t="array" ref="A189">IFERROR(INDEX('Annex 2 EHV charges'!$D$10:$D$259, MATCH(0, IF(ISBLANK('Annex 2 EHV charges'!$D$10:$D$259),1, COUNTIF(A$4:$A188, 'Annex 2 EHV charges'!$D$10:$D$259)), 0)),"")</f>
        <v/>
      </c>
      <c r="B189" s="91" t="str">
        <f>IF($A189="","",VLOOKUP($A189,'Annex 2 EHV charges'!$D:$O,2,0))</f>
        <v/>
      </c>
      <c r="C189" s="92" t="str">
        <f>IF($A189="","",VLOOKUP($A189,'Annex 2 EHV charges'!$D:$O,3,0))</f>
        <v/>
      </c>
      <c r="D189" s="91" t="str">
        <f>IF($A189="","",VLOOKUP($A189,'Annex 2 EHV charges'!$D:$O,4,0))</f>
        <v/>
      </c>
      <c r="E189" s="93" t="str">
        <f>IFERROR(IF(VLOOKUP($A189,'Annex 2 EHV charges'!$D:$O,9,FALSE)=0,"",VLOOKUP($A189,'Annex 2 EHV charges'!$D:$O,9,FALSE)),"")</f>
        <v/>
      </c>
      <c r="F189" s="94" t="str">
        <f>IFERROR(IF(VLOOKUP($A189,'Annex 2 EHV charges'!$D:$O,10,FALSE)=0,"",VLOOKUP($A189,'Annex 2 EHV charges'!$D:$O,10,FALSE)),"")</f>
        <v/>
      </c>
      <c r="G189" s="95" t="str">
        <f>IFERROR(IF(VLOOKUP($A189,'Annex 2 EHV charges'!$D:$O,11,FALSE)=0,"",VLOOKUP($A189,'Annex 2 EHV charges'!$D:$O,11,FALSE)),"")</f>
        <v/>
      </c>
      <c r="H189" s="95" t="str">
        <f>IFERROR(IF(VLOOKUP($A189,'Annex 2 EHV charges'!$D:$O,12,FALSE)=0,"",VLOOKUP($A189,'Annex 2 EHV charges'!$D:$O,12,FALSE)),"")</f>
        <v/>
      </c>
    </row>
    <row r="190" spans="1:8" x14ac:dyDescent="0.2">
      <c r="A190" s="92" t="str">
        <f t="array" ref="A190">IFERROR(INDEX('Annex 2 EHV charges'!$D$10:$D$259, MATCH(0, IF(ISBLANK('Annex 2 EHV charges'!$D$10:$D$259),1, COUNTIF(A$4:$A189, 'Annex 2 EHV charges'!$D$10:$D$259)), 0)),"")</f>
        <v/>
      </c>
      <c r="B190" s="91" t="str">
        <f>IF($A190="","",VLOOKUP($A190,'Annex 2 EHV charges'!$D:$O,2,0))</f>
        <v/>
      </c>
      <c r="C190" s="92" t="str">
        <f>IF($A190="","",VLOOKUP($A190,'Annex 2 EHV charges'!$D:$O,3,0))</f>
        <v/>
      </c>
      <c r="D190" s="91" t="str">
        <f>IF($A190="","",VLOOKUP($A190,'Annex 2 EHV charges'!$D:$O,4,0))</f>
        <v/>
      </c>
      <c r="E190" s="93" t="str">
        <f>IFERROR(IF(VLOOKUP($A190,'Annex 2 EHV charges'!$D:$O,9,FALSE)=0,"",VLOOKUP($A190,'Annex 2 EHV charges'!$D:$O,9,FALSE)),"")</f>
        <v/>
      </c>
      <c r="F190" s="94" t="str">
        <f>IFERROR(IF(VLOOKUP($A190,'Annex 2 EHV charges'!$D:$O,10,FALSE)=0,"",VLOOKUP($A190,'Annex 2 EHV charges'!$D:$O,10,FALSE)),"")</f>
        <v/>
      </c>
      <c r="G190" s="95" t="str">
        <f>IFERROR(IF(VLOOKUP($A190,'Annex 2 EHV charges'!$D:$O,11,FALSE)=0,"",VLOOKUP($A190,'Annex 2 EHV charges'!$D:$O,11,FALSE)),"")</f>
        <v/>
      </c>
      <c r="H190" s="95" t="str">
        <f>IFERROR(IF(VLOOKUP($A190,'Annex 2 EHV charges'!$D:$O,12,FALSE)=0,"",VLOOKUP($A190,'Annex 2 EHV charges'!$D:$O,12,FALSE)),"")</f>
        <v/>
      </c>
    </row>
    <row r="191" spans="1:8" x14ac:dyDescent="0.2">
      <c r="A191" s="92" t="str">
        <f t="array" ref="A191">IFERROR(INDEX('Annex 2 EHV charges'!$D$10:$D$259, MATCH(0, IF(ISBLANK('Annex 2 EHV charges'!$D$10:$D$259),1, COUNTIF(A$4:$A190, 'Annex 2 EHV charges'!$D$10:$D$259)), 0)),"")</f>
        <v/>
      </c>
      <c r="B191" s="91" t="str">
        <f>IF($A191="","",VLOOKUP($A191,'Annex 2 EHV charges'!$D:$O,2,0))</f>
        <v/>
      </c>
      <c r="C191" s="92" t="str">
        <f>IF($A191="","",VLOOKUP($A191,'Annex 2 EHV charges'!$D:$O,3,0))</f>
        <v/>
      </c>
      <c r="D191" s="91" t="str">
        <f>IF($A191="","",VLOOKUP($A191,'Annex 2 EHV charges'!$D:$O,4,0))</f>
        <v/>
      </c>
      <c r="E191" s="93" t="str">
        <f>IFERROR(IF(VLOOKUP($A191,'Annex 2 EHV charges'!$D:$O,9,FALSE)=0,"",VLOOKUP($A191,'Annex 2 EHV charges'!$D:$O,9,FALSE)),"")</f>
        <v/>
      </c>
      <c r="F191" s="94" t="str">
        <f>IFERROR(IF(VLOOKUP($A191,'Annex 2 EHV charges'!$D:$O,10,FALSE)=0,"",VLOOKUP($A191,'Annex 2 EHV charges'!$D:$O,10,FALSE)),"")</f>
        <v/>
      </c>
      <c r="G191" s="95" t="str">
        <f>IFERROR(IF(VLOOKUP($A191,'Annex 2 EHV charges'!$D:$O,11,FALSE)=0,"",VLOOKUP($A191,'Annex 2 EHV charges'!$D:$O,11,FALSE)),"")</f>
        <v/>
      </c>
      <c r="H191" s="95" t="str">
        <f>IFERROR(IF(VLOOKUP($A191,'Annex 2 EHV charges'!$D:$O,12,FALSE)=0,"",VLOOKUP($A191,'Annex 2 EHV charges'!$D:$O,12,FALSE)),"")</f>
        <v/>
      </c>
    </row>
    <row r="192" spans="1:8" x14ac:dyDescent="0.2">
      <c r="A192" s="92" t="str">
        <f t="array" ref="A192">IFERROR(INDEX('Annex 2 EHV charges'!$D$10:$D$259, MATCH(0, IF(ISBLANK('Annex 2 EHV charges'!$D$10:$D$259),1, COUNTIF(A$4:$A191, 'Annex 2 EHV charges'!$D$10:$D$259)), 0)),"")</f>
        <v/>
      </c>
      <c r="B192" s="91" t="str">
        <f>IF($A192="","",VLOOKUP($A192,'Annex 2 EHV charges'!$D:$O,2,0))</f>
        <v/>
      </c>
      <c r="C192" s="92" t="str">
        <f>IF($A192="","",VLOOKUP($A192,'Annex 2 EHV charges'!$D:$O,3,0))</f>
        <v/>
      </c>
      <c r="D192" s="91" t="str">
        <f>IF($A192="","",VLOOKUP($A192,'Annex 2 EHV charges'!$D:$O,4,0))</f>
        <v/>
      </c>
      <c r="E192" s="93" t="str">
        <f>IFERROR(IF(VLOOKUP($A192,'Annex 2 EHV charges'!$D:$O,9,FALSE)=0,"",VLOOKUP($A192,'Annex 2 EHV charges'!$D:$O,9,FALSE)),"")</f>
        <v/>
      </c>
      <c r="F192" s="94" t="str">
        <f>IFERROR(IF(VLOOKUP($A192,'Annex 2 EHV charges'!$D:$O,10,FALSE)=0,"",VLOOKUP($A192,'Annex 2 EHV charges'!$D:$O,10,FALSE)),"")</f>
        <v/>
      </c>
      <c r="G192" s="95" t="str">
        <f>IFERROR(IF(VLOOKUP($A192,'Annex 2 EHV charges'!$D:$O,11,FALSE)=0,"",VLOOKUP($A192,'Annex 2 EHV charges'!$D:$O,11,FALSE)),"")</f>
        <v/>
      </c>
      <c r="H192" s="95" t="str">
        <f>IFERROR(IF(VLOOKUP($A192,'Annex 2 EHV charges'!$D:$O,12,FALSE)=0,"",VLOOKUP($A192,'Annex 2 EHV charges'!$D:$O,12,FALSE)),"")</f>
        <v/>
      </c>
    </row>
    <row r="193" spans="1:8" x14ac:dyDescent="0.2">
      <c r="A193" s="92" t="str">
        <f t="array" ref="A193">IFERROR(INDEX('Annex 2 EHV charges'!$D$10:$D$259, MATCH(0, IF(ISBLANK('Annex 2 EHV charges'!$D$10:$D$259),1, COUNTIF(A$4:$A192, 'Annex 2 EHV charges'!$D$10:$D$259)), 0)),"")</f>
        <v/>
      </c>
      <c r="B193" s="91" t="str">
        <f>IF($A193="","",VLOOKUP($A193,'Annex 2 EHV charges'!$D:$O,2,0))</f>
        <v/>
      </c>
      <c r="C193" s="92" t="str">
        <f>IF($A193="","",VLOOKUP($A193,'Annex 2 EHV charges'!$D:$O,3,0))</f>
        <v/>
      </c>
      <c r="D193" s="91" t="str">
        <f>IF($A193="","",VLOOKUP($A193,'Annex 2 EHV charges'!$D:$O,4,0))</f>
        <v/>
      </c>
      <c r="E193" s="93" t="str">
        <f>IFERROR(IF(VLOOKUP($A193,'Annex 2 EHV charges'!$D:$O,9,FALSE)=0,"",VLOOKUP($A193,'Annex 2 EHV charges'!$D:$O,9,FALSE)),"")</f>
        <v/>
      </c>
      <c r="F193" s="94" t="str">
        <f>IFERROR(IF(VLOOKUP($A193,'Annex 2 EHV charges'!$D:$O,10,FALSE)=0,"",VLOOKUP($A193,'Annex 2 EHV charges'!$D:$O,10,FALSE)),"")</f>
        <v/>
      </c>
      <c r="G193" s="95" t="str">
        <f>IFERROR(IF(VLOOKUP($A193,'Annex 2 EHV charges'!$D:$O,11,FALSE)=0,"",VLOOKUP($A193,'Annex 2 EHV charges'!$D:$O,11,FALSE)),"")</f>
        <v/>
      </c>
      <c r="H193" s="95" t="str">
        <f>IFERROR(IF(VLOOKUP($A193,'Annex 2 EHV charges'!$D:$O,12,FALSE)=0,"",VLOOKUP($A193,'Annex 2 EHV charges'!$D:$O,12,FALSE)),"")</f>
        <v/>
      </c>
    </row>
    <row r="194" spans="1:8" x14ac:dyDescent="0.2">
      <c r="A194" s="92" t="str">
        <f t="array" ref="A194">IFERROR(INDEX('Annex 2 EHV charges'!$D$10:$D$259, MATCH(0, IF(ISBLANK('Annex 2 EHV charges'!$D$10:$D$259),1, COUNTIF(A$4:$A193, 'Annex 2 EHV charges'!$D$10:$D$259)), 0)),"")</f>
        <v/>
      </c>
      <c r="B194" s="91" t="str">
        <f>IF($A194="","",VLOOKUP($A194,'Annex 2 EHV charges'!$D:$O,2,0))</f>
        <v/>
      </c>
      <c r="C194" s="92" t="str">
        <f>IF($A194="","",VLOOKUP($A194,'Annex 2 EHV charges'!$D:$O,3,0))</f>
        <v/>
      </c>
      <c r="D194" s="91" t="str">
        <f>IF($A194="","",VLOOKUP($A194,'Annex 2 EHV charges'!$D:$O,4,0))</f>
        <v/>
      </c>
      <c r="E194" s="93" t="str">
        <f>IFERROR(IF(VLOOKUP($A194,'Annex 2 EHV charges'!$D:$O,9,FALSE)=0,"",VLOOKUP($A194,'Annex 2 EHV charges'!$D:$O,9,FALSE)),"")</f>
        <v/>
      </c>
      <c r="F194" s="94" t="str">
        <f>IFERROR(IF(VLOOKUP($A194,'Annex 2 EHV charges'!$D:$O,10,FALSE)=0,"",VLOOKUP($A194,'Annex 2 EHV charges'!$D:$O,10,FALSE)),"")</f>
        <v/>
      </c>
      <c r="G194" s="95" t="str">
        <f>IFERROR(IF(VLOOKUP($A194,'Annex 2 EHV charges'!$D:$O,11,FALSE)=0,"",VLOOKUP($A194,'Annex 2 EHV charges'!$D:$O,11,FALSE)),"")</f>
        <v/>
      </c>
      <c r="H194" s="95" t="str">
        <f>IFERROR(IF(VLOOKUP($A194,'Annex 2 EHV charges'!$D:$O,12,FALSE)=0,"",VLOOKUP($A194,'Annex 2 EHV charges'!$D:$O,12,FALSE)),"")</f>
        <v/>
      </c>
    </row>
    <row r="195" spans="1:8" x14ac:dyDescent="0.2">
      <c r="A195" s="92" t="str">
        <f t="array" ref="A195">IFERROR(INDEX('Annex 2 EHV charges'!$D$10:$D$259, MATCH(0, IF(ISBLANK('Annex 2 EHV charges'!$D$10:$D$259),1, COUNTIF(A$4:$A194, 'Annex 2 EHV charges'!$D$10:$D$259)), 0)),"")</f>
        <v/>
      </c>
      <c r="B195" s="91" t="str">
        <f>IF($A195="","",VLOOKUP($A195,'Annex 2 EHV charges'!$D:$O,2,0))</f>
        <v/>
      </c>
      <c r="C195" s="92" t="str">
        <f>IF($A195="","",VLOOKUP($A195,'Annex 2 EHV charges'!$D:$O,3,0))</f>
        <v/>
      </c>
      <c r="D195" s="91" t="str">
        <f>IF($A195="","",VLOOKUP($A195,'Annex 2 EHV charges'!$D:$O,4,0))</f>
        <v/>
      </c>
      <c r="E195" s="93" t="str">
        <f>IFERROR(IF(VLOOKUP($A195,'Annex 2 EHV charges'!$D:$O,9,FALSE)=0,"",VLOOKUP($A195,'Annex 2 EHV charges'!$D:$O,9,FALSE)),"")</f>
        <v/>
      </c>
      <c r="F195" s="94" t="str">
        <f>IFERROR(IF(VLOOKUP($A195,'Annex 2 EHV charges'!$D:$O,10,FALSE)=0,"",VLOOKUP($A195,'Annex 2 EHV charges'!$D:$O,10,FALSE)),"")</f>
        <v/>
      </c>
      <c r="G195" s="95" t="str">
        <f>IFERROR(IF(VLOOKUP($A195,'Annex 2 EHV charges'!$D:$O,11,FALSE)=0,"",VLOOKUP($A195,'Annex 2 EHV charges'!$D:$O,11,FALSE)),"")</f>
        <v/>
      </c>
      <c r="H195" s="95" t="str">
        <f>IFERROR(IF(VLOOKUP($A195,'Annex 2 EHV charges'!$D:$O,12,FALSE)=0,"",VLOOKUP($A195,'Annex 2 EHV charges'!$D:$O,12,FALSE)),"")</f>
        <v/>
      </c>
    </row>
    <row r="196" spans="1:8" x14ac:dyDescent="0.2">
      <c r="A196" s="92" t="str">
        <f t="array" ref="A196">IFERROR(INDEX('Annex 2 EHV charges'!$D$10:$D$259, MATCH(0, IF(ISBLANK('Annex 2 EHV charges'!$D$10:$D$259),1, COUNTIF(A$4:$A195, 'Annex 2 EHV charges'!$D$10:$D$259)), 0)),"")</f>
        <v/>
      </c>
      <c r="B196" s="91" t="str">
        <f>IF($A196="","",VLOOKUP($A196,'Annex 2 EHV charges'!$D:$O,2,0))</f>
        <v/>
      </c>
      <c r="C196" s="92" t="str">
        <f>IF($A196="","",VLOOKUP($A196,'Annex 2 EHV charges'!$D:$O,3,0))</f>
        <v/>
      </c>
      <c r="D196" s="91" t="str">
        <f>IF($A196="","",VLOOKUP($A196,'Annex 2 EHV charges'!$D:$O,4,0))</f>
        <v/>
      </c>
      <c r="E196" s="93" t="str">
        <f>IFERROR(IF(VLOOKUP($A196,'Annex 2 EHV charges'!$D:$O,9,FALSE)=0,"",VLOOKUP($A196,'Annex 2 EHV charges'!$D:$O,9,FALSE)),"")</f>
        <v/>
      </c>
      <c r="F196" s="94" t="str">
        <f>IFERROR(IF(VLOOKUP($A196,'Annex 2 EHV charges'!$D:$O,10,FALSE)=0,"",VLOOKUP($A196,'Annex 2 EHV charges'!$D:$O,10,FALSE)),"")</f>
        <v/>
      </c>
      <c r="G196" s="95" t="str">
        <f>IFERROR(IF(VLOOKUP($A196,'Annex 2 EHV charges'!$D:$O,11,FALSE)=0,"",VLOOKUP($A196,'Annex 2 EHV charges'!$D:$O,11,FALSE)),"")</f>
        <v/>
      </c>
      <c r="H196" s="95" t="str">
        <f>IFERROR(IF(VLOOKUP($A196,'Annex 2 EHV charges'!$D:$O,12,FALSE)=0,"",VLOOKUP($A196,'Annex 2 EHV charges'!$D:$O,12,FALSE)),"")</f>
        <v/>
      </c>
    </row>
    <row r="197" spans="1:8" x14ac:dyDescent="0.2">
      <c r="A197" s="92" t="str">
        <f t="array" ref="A197">IFERROR(INDEX('Annex 2 EHV charges'!$D$10:$D$259, MATCH(0, IF(ISBLANK('Annex 2 EHV charges'!$D$10:$D$259),1, COUNTIF(A$4:$A196, 'Annex 2 EHV charges'!$D$10:$D$259)), 0)),"")</f>
        <v/>
      </c>
      <c r="B197" s="91" t="str">
        <f>IF($A197="","",VLOOKUP($A197,'Annex 2 EHV charges'!$D:$O,2,0))</f>
        <v/>
      </c>
      <c r="C197" s="92" t="str">
        <f>IF($A197="","",VLOOKUP($A197,'Annex 2 EHV charges'!$D:$O,3,0))</f>
        <v/>
      </c>
      <c r="D197" s="91" t="str">
        <f>IF($A197="","",VLOOKUP($A197,'Annex 2 EHV charges'!$D:$O,4,0))</f>
        <v/>
      </c>
      <c r="E197" s="93" t="str">
        <f>IFERROR(IF(VLOOKUP($A197,'Annex 2 EHV charges'!$D:$O,9,FALSE)=0,"",VLOOKUP($A197,'Annex 2 EHV charges'!$D:$O,9,FALSE)),"")</f>
        <v/>
      </c>
      <c r="F197" s="94" t="str">
        <f>IFERROR(IF(VLOOKUP($A197,'Annex 2 EHV charges'!$D:$O,10,FALSE)=0,"",VLOOKUP($A197,'Annex 2 EHV charges'!$D:$O,10,FALSE)),"")</f>
        <v/>
      </c>
      <c r="G197" s="95" t="str">
        <f>IFERROR(IF(VLOOKUP($A197,'Annex 2 EHV charges'!$D:$O,11,FALSE)=0,"",VLOOKUP($A197,'Annex 2 EHV charges'!$D:$O,11,FALSE)),"")</f>
        <v/>
      </c>
      <c r="H197" s="95" t="str">
        <f>IFERROR(IF(VLOOKUP($A197,'Annex 2 EHV charges'!$D:$O,12,FALSE)=0,"",VLOOKUP($A197,'Annex 2 EHV charges'!$D:$O,12,FALSE)),"")</f>
        <v/>
      </c>
    </row>
    <row r="198" spans="1:8" x14ac:dyDescent="0.2">
      <c r="A198" s="92" t="str">
        <f t="array" ref="A198">IFERROR(INDEX('Annex 2 EHV charges'!$D$10:$D$259, MATCH(0, IF(ISBLANK('Annex 2 EHV charges'!$D$10:$D$259),1, COUNTIF(A$4:$A197, 'Annex 2 EHV charges'!$D$10:$D$259)), 0)),"")</f>
        <v/>
      </c>
      <c r="B198" s="91" t="str">
        <f>IF($A198="","",VLOOKUP($A198,'Annex 2 EHV charges'!$D:$O,2,0))</f>
        <v/>
      </c>
      <c r="C198" s="92" t="str">
        <f>IF($A198="","",VLOOKUP($A198,'Annex 2 EHV charges'!$D:$O,3,0))</f>
        <v/>
      </c>
      <c r="D198" s="91" t="str">
        <f>IF($A198="","",VLOOKUP($A198,'Annex 2 EHV charges'!$D:$O,4,0))</f>
        <v/>
      </c>
      <c r="E198" s="93" t="str">
        <f>IFERROR(IF(VLOOKUP($A198,'Annex 2 EHV charges'!$D:$O,9,FALSE)=0,"",VLOOKUP($A198,'Annex 2 EHV charges'!$D:$O,9,FALSE)),"")</f>
        <v/>
      </c>
      <c r="F198" s="94" t="str">
        <f>IFERROR(IF(VLOOKUP($A198,'Annex 2 EHV charges'!$D:$O,10,FALSE)=0,"",VLOOKUP($A198,'Annex 2 EHV charges'!$D:$O,10,FALSE)),"")</f>
        <v/>
      </c>
      <c r="G198" s="95" t="str">
        <f>IFERROR(IF(VLOOKUP($A198,'Annex 2 EHV charges'!$D:$O,11,FALSE)=0,"",VLOOKUP($A198,'Annex 2 EHV charges'!$D:$O,11,FALSE)),"")</f>
        <v/>
      </c>
      <c r="H198" s="95" t="str">
        <f>IFERROR(IF(VLOOKUP($A198,'Annex 2 EHV charges'!$D:$O,12,FALSE)=0,"",VLOOKUP($A198,'Annex 2 EHV charges'!$D:$O,12,FALSE)),"")</f>
        <v/>
      </c>
    </row>
    <row r="199" spans="1:8" x14ac:dyDescent="0.2">
      <c r="A199" s="92" t="str">
        <f t="array" ref="A199">IFERROR(INDEX('Annex 2 EHV charges'!$D$10:$D$259, MATCH(0, IF(ISBLANK('Annex 2 EHV charges'!$D$10:$D$259),1, COUNTIF(A$4:$A198, 'Annex 2 EHV charges'!$D$10:$D$259)), 0)),"")</f>
        <v/>
      </c>
      <c r="B199" s="91" t="str">
        <f>IF($A199="","",VLOOKUP($A199,'Annex 2 EHV charges'!$D:$O,2,0))</f>
        <v/>
      </c>
      <c r="C199" s="92" t="str">
        <f>IF($A199="","",VLOOKUP($A199,'Annex 2 EHV charges'!$D:$O,3,0))</f>
        <v/>
      </c>
      <c r="D199" s="91" t="str">
        <f>IF($A199="","",VLOOKUP($A199,'Annex 2 EHV charges'!$D:$O,4,0))</f>
        <v/>
      </c>
      <c r="E199" s="93" t="str">
        <f>IFERROR(IF(VLOOKUP($A199,'Annex 2 EHV charges'!$D:$O,9,FALSE)=0,"",VLOOKUP($A199,'Annex 2 EHV charges'!$D:$O,9,FALSE)),"")</f>
        <v/>
      </c>
      <c r="F199" s="94" t="str">
        <f>IFERROR(IF(VLOOKUP($A199,'Annex 2 EHV charges'!$D:$O,10,FALSE)=0,"",VLOOKUP($A199,'Annex 2 EHV charges'!$D:$O,10,FALSE)),"")</f>
        <v/>
      </c>
      <c r="G199" s="95" t="str">
        <f>IFERROR(IF(VLOOKUP($A199,'Annex 2 EHV charges'!$D:$O,11,FALSE)=0,"",VLOOKUP($A199,'Annex 2 EHV charges'!$D:$O,11,FALSE)),"")</f>
        <v/>
      </c>
      <c r="H199" s="95" t="str">
        <f>IFERROR(IF(VLOOKUP($A199,'Annex 2 EHV charges'!$D:$O,12,FALSE)=0,"",VLOOKUP($A199,'Annex 2 EHV charges'!$D:$O,12,FALSE)),"")</f>
        <v/>
      </c>
    </row>
    <row r="200" spans="1:8" x14ac:dyDescent="0.2">
      <c r="A200" s="92" t="str">
        <f t="array" ref="A200">IFERROR(INDEX('Annex 2 EHV charges'!$D$10:$D$259, MATCH(0, IF(ISBLANK('Annex 2 EHV charges'!$D$10:$D$259),1, COUNTIF(A$4:$A199, 'Annex 2 EHV charges'!$D$10:$D$259)), 0)),"")</f>
        <v/>
      </c>
      <c r="B200" s="91" t="str">
        <f>IF($A200="","",VLOOKUP($A200,'Annex 2 EHV charges'!$D:$O,2,0))</f>
        <v/>
      </c>
      <c r="C200" s="92" t="str">
        <f>IF($A200="","",VLOOKUP($A200,'Annex 2 EHV charges'!$D:$O,3,0))</f>
        <v/>
      </c>
      <c r="D200" s="91" t="str">
        <f>IF($A200="","",VLOOKUP($A200,'Annex 2 EHV charges'!$D:$O,4,0))</f>
        <v/>
      </c>
      <c r="E200" s="93" t="str">
        <f>IFERROR(IF(VLOOKUP($A200,'Annex 2 EHV charges'!$D:$O,9,FALSE)=0,"",VLOOKUP($A200,'Annex 2 EHV charges'!$D:$O,9,FALSE)),"")</f>
        <v/>
      </c>
      <c r="F200" s="94" t="str">
        <f>IFERROR(IF(VLOOKUP($A200,'Annex 2 EHV charges'!$D:$O,10,FALSE)=0,"",VLOOKUP($A200,'Annex 2 EHV charges'!$D:$O,10,FALSE)),"")</f>
        <v/>
      </c>
      <c r="G200" s="95" t="str">
        <f>IFERROR(IF(VLOOKUP($A200,'Annex 2 EHV charges'!$D:$O,11,FALSE)=0,"",VLOOKUP($A200,'Annex 2 EHV charges'!$D:$O,11,FALSE)),"")</f>
        <v/>
      </c>
      <c r="H200" s="95" t="str">
        <f>IFERROR(IF(VLOOKUP($A200,'Annex 2 EHV charges'!$D:$O,12,FALSE)=0,"",VLOOKUP($A200,'Annex 2 EHV charges'!$D:$O,12,FALSE)),"")</f>
        <v/>
      </c>
    </row>
    <row r="201" spans="1:8" x14ac:dyDescent="0.2">
      <c r="A201" s="92" t="str">
        <f t="array" ref="A201">IFERROR(INDEX('Annex 2 EHV charges'!$D$10:$D$259, MATCH(0, IF(ISBLANK('Annex 2 EHV charges'!$D$10:$D$259),1, COUNTIF(A$4:$A200, 'Annex 2 EHV charges'!$D$10:$D$259)), 0)),"")</f>
        <v/>
      </c>
      <c r="B201" s="91" t="str">
        <f>IF($A201="","",VLOOKUP($A201,'Annex 2 EHV charges'!$D:$O,2,0))</f>
        <v/>
      </c>
      <c r="C201" s="92" t="str">
        <f>IF($A201="","",VLOOKUP($A201,'Annex 2 EHV charges'!$D:$O,3,0))</f>
        <v/>
      </c>
      <c r="D201" s="91" t="str">
        <f>IF($A201="","",VLOOKUP($A201,'Annex 2 EHV charges'!$D:$O,4,0))</f>
        <v/>
      </c>
      <c r="E201" s="93" t="str">
        <f>IFERROR(IF(VLOOKUP($A201,'Annex 2 EHV charges'!$D:$O,9,FALSE)=0,"",VLOOKUP($A201,'Annex 2 EHV charges'!$D:$O,9,FALSE)),"")</f>
        <v/>
      </c>
      <c r="F201" s="94" t="str">
        <f>IFERROR(IF(VLOOKUP($A201,'Annex 2 EHV charges'!$D:$O,10,FALSE)=0,"",VLOOKUP($A201,'Annex 2 EHV charges'!$D:$O,10,FALSE)),"")</f>
        <v/>
      </c>
      <c r="G201" s="95" t="str">
        <f>IFERROR(IF(VLOOKUP($A201,'Annex 2 EHV charges'!$D:$O,11,FALSE)=0,"",VLOOKUP($A201,'Annex 2 EHV charges'!$D:$O,11,FALSE)),"")</f>
        <v/>
      </c>
      <c r="H201" s="95" t="str">
        <f>IFERROR(IF(VLOOKUP($A201,'Annex 2 EHV charges'!$D:$O,12,FALSE)=0,"",VLOOKUP($A201,'Annex 2 EHV charges'!$D:$O,12,FALSE)),"")</f>
        <v/>
      </c>
    </row>
    <row r="202" spans="1:8" x14ac:dyDescent="0.2">
      <c r="A202" s="92" t="str">
        <f t="array" ref="A202">IFERROR(INDEX('Annex 2 EHV charges'!$D$10:$D$259, MATCH(0, IF(ISBLANK('Annex 2 EHV charges'!$D$10:$D$259),1, COUNTIF(A$4:$A201, 'Annex 2 EHV charges'!$D$10:$D$259)), 0)),"")</f>
        <v/>
      </c>
      <c r="B202" s="91" t="str">
        <f>IF($A202="","",VLOOKUP($A202,'Annex 2 EHV charges'!$D:$O,2,0))</f>
        <v/>
      </c>
      <c r="C202" s="92" t="str">
        <f>IF($A202="","",VLOOKUP($A202,'Annex 2 EHV charges'!$D:$O,3,0))</f>
        <v/>
      </c>
      <c r="D202" s="91" t="str">
        <f>IF($A202="","",VLOOKUP($A202,'Annex 2 EHV charges'!$D:$O,4,0))</f>
        <v/>
      </c>
      <c r="E202" s="93" t="str">
        <f>IFERROR(IF(VLOOKUP($A202,'Annex 2 EHV charges'!$D:$O,9,FALSE)=0,"",VLOOKUP($A202,'Annex 2 EHV charges'!$D:$O,9,FALSE)),"")</f>
        <v/>
      </c>
      <c r="F202" s="94" t="str">
        <f>IFERROR(IF(VLOOKUP($A202,'Annex 2 EHV charges'!$D:$O,10,FALSE)=0,"",VLOOKUP($A202,'Annex 2 EHV charges'!$D:$O,10,FALSE)),"")</f>
        <v/>
      </c>
      <c r="G202" s="95" t="str">
        <f>IFERROR(IF(VLOOKUP($A202,'Annex 2 EHV charges'!$D:$O,11,FALSE)=0,"",VLOOKUP($A202,'Annex 2 EHV charges'!$D:$O,11,FALSE)),"")</f>
        <v/>
      </c>
      <c r="H202" s="95" t="str">
        <f>IFERROR(IF(VLOOKUP($A202,'Annex 2 EHV charges'!$D:$O,12,FALSE)=0,"",VLOOKUP($A202,'Annex 2 EHV charges'!$D:$O,12,FALSE)),"")</f>
        <v/>
      </c>
    </row>
    <row r="203" spans="1:8" x14ac:dyDescent="0.2">
      <c r="A203" s="92" t="str">
        <f t="array" ref="A203">IFERROR(INDEX('Annex 2 EHV charges'!$D$10:$D$259, MATCH(0, IF(ISBLANK('Annex 2 EHV charges'!$D$10:$D$259),1, COUNTIF(A$4:$A202, 'Annex 2 EHV charges'!$D$10:$D$259)), 0)),"")</f>
        <v/>
      </c>
      <c r="B203" s="91" t="str">
        <f>IF($A203="","",VLOOKUP($A203,'Annex 2 EHV charges'!$D:$O,2,0))</f>
        <v/>
      </c>
      <c r="C203" s="92" t="str">
        <f>IF($A203="","",VLOOKUP($A203,'Annex 2 EHV charges'!$D:$O,3,0))</f>
        <v/>
      </c>
      <c r="D203" s="91" t="str">
        <f>IF($A203="","",VLOOKUP($A203,'Annex 2 EHV charges'!$D:$O,4,0))</f>
        <v/>
      </c>
      <c r="E203" s="93" t="str">
        <f>IFERROR(IF(VLOOKUP($A203,'Annex 2 EHV charges'!$D:$O,9,FALSE)=0,"",VLOOKUP($A203,'Annex 2 EHV charges'!$D:$O,9,FALSE)),"")</f>
        <v/>
      </c>
      <c r="F203" s="94" t="str">
        <f>IFERROR(IF(VLOOKUP($A203,'Annex 2 EHV charges'!$D:$O,10,FALSE)=0,"",VLOOKUP($A203,'Annex 2 EHV charges'!$D:$O,10,FALSE)),"")</f>
        <v/>
      </c>
      <c r="G203" s="95" t="str">
        <f>IFERROR(IF(VLOOKUP($A203,'Annex 2 EHV charges'!$D:$O,11,FALSE)=0,"",VLOOKUP($A203,'Annex 2 EHV charges'!$D:$O,11,FALSE)),"")</f>
        <v/>
      </c>
      <c r="H203" s="95" t="str">
        <f>IFERROR(IF(VLOOKUP($A203,'Annex 2 EHV charges'!$D:$O,12,FALSE)=0,"",VLOOKUP($A203,'Annex 2 EHV charges'!$D:$O,12,FALSE)),"")</f>
        <v/>
      </c>
    </row>
    <row r="204" spans="1:8" x14ac:dyDescent="0.2">
      <c r="A204" s="92" t="str">
        <f t="array" ref="A204">IFERROR(INDEX('Annex 2 EHV charges'!$D$10:$D$259, MATCH(0, IF(ISBLANK('Annex 2 EHV charges'!$D$10:$D$259),1, COUNTIF(A$4:$A203, 'Annex 2 EHV charges'!$D$10:$D$259)), 0)),"")</f>
        <v/>
      </c>
      <c r="B204" s="91" t="str">
        <f>IF($A204="","",VLOOKUP($A204,'Annex 2 EHV charges'!$D:$O,2,0))</f>
        <v/>
      </c>
      <c r="C204" s="92" t="str">
        <f>IF($A204="","",VLOOKUP($A204,'Annex 2 EHV charges'!$D:$O,3,0))</f>
        <v/>
      </c>
      <c r="D204" s="91" t="str">
        <f>IF($A204="","",VLOOKUP($A204,'Annex 2 EHV charges'!$D:$O,4,0))</f>
        <v/>
      </c>
      <c r="E204" s="93" t="str">
        <f>IFERROR(IF(VLOOKUP($A204,'Annex 2 EHV charges'!$D:$O,9,FALSE)=0,"",VLOOKUP($A204,'Annex 2 EHV charges'!$D:$O,9,FALSE)),"")</f>
        <v/>
      </c>
      <c r="F204" s="94" t="str">
        <f>IFERROR(IF(VLOOKUP($A204,'Annex 2 EHV charges'!$D:$O,10,FALSE)=0,"",VLOOKUP($A204,'Annex 2 EHV charges'!$D:$O,10,FALSE)),"")</f>
        <v/>
      </c>
      <c r="G204" s="95" t="str">
        <f>IFERROR(IF(VLOOKUP($A204,'Annex 2 EHV charges'!$D:$O,11,FALSE)=0,"",VLOOKUP($A204,'Annex 2 EHV charges'!$D:$O,11,FALSE)),"")</f>
        <v/>
      </c>
      <c r="H204" s="95" t="str">
        <f>IFERROR(IF(VLOOKUP($A204,'Annex 2 EHV charges'!$D:$O,12,FALSE)=0,"",VLOOKUP($A204,'Annex 2 EHV charges'!$D:$O,12,FALSE)),"")</f>
        <v/>
      </c>
    </row>
    <row r="205" spans="1:8" x14ac:dyDescent="0.2">
      <c r="A205" s="92" t="str">
        <f t="array" ref="A205">IFERROR(INDEX('Annex 2 EHV charges'!$D$10:$D$259, MATCH(0, IF(ISBLANK('Annex 2 EHV charges'!$D$10:$D$259),1, COUNTIF(A$4:$A204, 'Annex 2 EHV charges'!$D$10:$D$259)), 0)),"")</f>
        <v/>
      </c>
      <c r="B205" s="91" t="str">
        <f>IF($A205="","",VLOOKUP($A205,'Annex 2 EHV charges'!$D:$O,2,0))</f>
        <v/>
      </c>
      <c r="C205" s="92" t="str">
        <f>IF($A205="","",VLOOKUP($A205,'Annex 2 EHV charges'!$D:$O,3,0))</f>
        <v/>
      </c>
      <c r="D205" s="91" t="str">
        <f>IF($A205="","",VLOOKUP($A205,'Annex 2 EHV charges'!$D:$O,4,0))</f>
        <v/>
      </c>
      <c r="E205" s="93" t="str">
        <f>IFERROR(IF(VLOOKUP($A205,'Annex 2 EHV charges'!$D:$O,9,FALSE)=0,"",VLOOKUP($A205,'Annex 2 EHV charges'!$D:$O,9,FALSE)),"")</f>
        <v/>
      </c>
      <c r="F205" s="94" t="str">
        <f>IFERROR(IF(VLOOKUP($A205,'Annex 2 EHV charges'!$D:$O,10,FALSE)=0,"",VLOOKUP($A205,'Annex 2 EHV charges'!$D:$O,10,FALSE)),"")</f>
        <v/>
      </c>
      <c r="G205" s="95" t="str">
        <f>IFERROR(IF(VLOOKUP($A205,'Annex 2 EHV charges'!$D:$O,11,FALSE)=0,"",VLOOKUP($A205,'Annex 2 EHV charges'!$D:$O,11,FALSE)),"")</f>
        <v/>
      </c>
      <c r="H205" s="95" t="str">
        <f>IFERROR(IF(VLOOKUP($A205,'Annex 2 EHV charges'!$D:$O,12,FALSE)=0,"",VLOOKUP($A205,'Annex 2 EHV charges'!$D:$O,12,FALSE)),"")</f>
        <v/>
      </c>
    </row>
    <row r="206" spans="1:8" x14ac:dyDescent="0.2">
      <c r="A206" s="92" t="str">
        <f t="array" ref="A206">IFERROR(INDEX('Annex 2 EHV charges'!$D$10:$D$259, MATCH(0, IF(ISBLANK('Annex 2 EHV charges'!$D$10:$D$259),1, COUNTIF(A$4:$A205, 'Annex 2 EHV charges'!$D$10:$D$259)), 0)),"")</f>
        <v/>
      </c>
      <c r="B206" s="91" t="str">
        <f>IF($A206="","",VLOOKUP($A206,'Annex 2 EHV charges'!$D:$O,2,0))</f>
        <v/>
      </c>
      <c r="C206" s="92" t="str">
        <f>IF($A206="","",VLOOKUP($A206,'Annex 2 EHV charges'!$D:$O,3,0))</f>
        <v/>
      </c>
      <c r="D206" s="91" t="str">
        <f>IF($A206="","",VLOOKUP($A206,'Annex 2 EHV charges'!$D:$O,4,0))</f>
        <v/>
      </c>
      <c r="E206" s="93" t="str">
        <f>IFERROR(IF(VLOOKUP($A206,'Annex 2 EHV charges'!$D:$O,9,FALSE)=0,"",VLOOKUP($A206,'Annex 2 EHV charges'!$D:$O,9,FALSE)),"")</f>
        <v/>
      </c>
      <c r="F206" s="94" t="str">
        <f>IFERROR(IF(VLOOKUP($A206,'Annex 2 EHV charges'!$D:$O,10,FALSE)=0,"",VLOOKUP($A206,'Annex 2 EHV charges'!$D:$O,10,FALSE)),"")</f>
        <v/>
      </c>
      <c r="G206" s="95" t="str">
        <f>IFERROR(IF(VLOOKUP($A206,'Annex 2 EHV charges'!$D:$O,11,FALSE)=0,"",VLOOKUP($A206,'Annex 2 EHV charges'!$D:$O,11,FALSE)),"")</f>
        <v/>
      </c>
      <c r="H206" s="95" t="str">
        <f>IFERROR(IF(VLOOKUP($A206,'Annex 2 EHV charges'!$D:$O,12,FALSE)=0,"",VLOOKUP($A206,'Annex 2 EHV charges'!$D:$O,12,FALSE)),"")</f>
        <v/>
      </c>
    </row>
    <row r="207" spans="1:8" x14ac:dyDescent="0.2">
      <c r="A207" s="92" t="str">
        <f t="array" ref="A207">IFERROR(INDEX('Annex 2 EHV charges'!$D$10:$D$259, MATCH(0, IF(ISBLANK('Annex 2 EHV charges'!$D$10:$D$259),1, COUNTIF(A$4:$A206, 'Annex 2 EHV charges'!$D$10:$D$259)), 0)),"")</f>
        <v/>
      </c>
      <c r="B207" s="91" t="str">
        <f>IF($A207="","",VLOOKUP($A207,'Annex 2 EHV charges'!$D:$O,2,0))</f>
        <v/>
      </c>
      <c r="C207" s="92" t="str">
        <f>IF($A207="","",VLOOKUP($A207,'Annex 2 EHV charges'!$D:$O,3,0))</f>
        <v/>
      </c>
      <c r="D207" s="91" t="str">
        <f>IF($A207="","",VLOOKUP($A207,'Annex 2 EHV charges'!$D:$O,4,0))</f>
        <v/>
      </c>
      <c r="E207" s="93" t="str">
        <f>IFERROR(IF(VLOOKUP($A207,'Annex 2 EHV charges'!$D:$O,9,FALSE)=0,"",VLOOKUP($A207,'Annex 2 EHV charges'!$D:$O,9,FALSE)),"")</f>
        <v/>
      </c>
      <c r="F207" s="94" t="str">
        <f>IFERROR(IF(VLOOKUP($A207,'Annex 2 EHV charges'!$D:$O,10,FALSE)=0,"",VLOOKUP($A207,'Annex 2 EHV charges'!$D:$O,10,FALSE)),"")</f>
        <v/>
      </c>
      <c r="G207" s="95" t="str">
        <f>IFERROR(IF(VLOOKUP($A207,'Annex 2 EHV charges'!$D:$O,11,FALSE)=0,"",VLOOKUP($A207,'Annex 2 EHV charges'!$D:$O,11,FALSE)),"")</f>
        <v/>
      </c>
      <c r="H207" s="95" t="str">
        <f>IFERROR(IF(VLOOKUP($A207,'Annex 2 EHV charges'!$D:$O,12,FALSE)=0,"",VLOOKUP($A207,'Annex 2 EHV charges'!$D:$O,12,FALSE)),"")</f>
        <v/>
      </c>
    </row>
    <row r="208" spans="1:8" x14ac:dyDescent="0.2">
      <c r="A208" s="92" t="str">
        <f t="array" ref="A208">IFERROR(INDEX('Annex 2 EHV charges'!$D$10:$D$259, MATCH(0, IF(ISBLANK('Annex 2 EHV charges'!$D$10:$D$259),1, COUNTIF(A$4:$A207, 'Annex 2 EHV charges'!$D$10:$D$259)), 0)),"")</f>
        <v/>
      </c>
      <c r="B208" s="91" t="str">
        <f>IF($A208="","",VLOOKUP($A208,'Annex 2 EHV charges'!$D:$O,2,0))</f>
        <v/>
      </c>
      <c r="C208" s="92" t="str">
        <f>IF($A208="","",VLOOKUP($A208,'Annex 2 EHV charges'!$D:$O,3,0))</f>
        <v/>
      </c>
      <c r="D208" s="91" t="str">
        <f>IF($A208="","",VLOOKUP($A208,'Annex 2 EHV charges'!$D:$O,4,0))</f>
        <v/>
      </c>
      <c r="E208" s="93" t="str">
        <f>IFERROR(IF(VLOOKUP($A208,'Annex 2 EHV charges'!$D:$O,9,FALSE)=0,"",VLOOKUP($A208,'Annex 2 EHV charges'!$D:$O,9,FALSE)),"")</f>
        <v/>
      </c>
      <c r="F208" s="94" t="str">
        <f>IFERROR(IF(VLOOKUP($A208,'Annex 2 EHV charges'!$D:$O,10,FALSE)=0,"",VLOOKUP($A208,'Annex 2 EHV charges'!$D:$O,10,FALSE)),"")</f>
        <v/>
      </c>
      <c r="G208" s="95" t="str">
        <f>IFERROR(IF(VLOOKUP($A208,'Annex 2 EHV charges'!$D:$O,11,FALSE)=0,"",VLOOKUP($A208,'Annex 2 EHV charges'!$D:$O,11,FALSE)),"")</f>
        <v/>
      </c>
      <c r="H208" s="95" t="str">
        <f>IFERROR(IF(VLOOKUP($A208,'Annex 2 EHV charges'!$D:$O,12,FALSE)=0,"",VLOOKUP($A208,'Annex 2 EHV charges'!$D:$O,12,FALSE)),"")</f>
        <v/>
      </c>
    </row>
    <row r="209" spans="1:8" x14ac:dyDescent="0.2">
      <c r="A209" s="92" t="str">
        <f t="array" ref="A209">IFERROR(INDEX('Annex 2 EHV charges'!$D$10:$D$259, MATCH(0, IF(ISBLANK('Annex 2 EHV charges'!$D$10:$D$259),1, COUNTIF(A$4:$A208, 'Annex 2 EHV charges'!$D$10:$D$259)), 0)),"")</f>
        <v/>
      </c>
      <c r="B209" s="91" t="str">
        <f>IF($A209="","",VLOOKUP($A209,'Annex 2 EHV charges'!$D:$O,2,0))</f>
        <v/>
      </c>
      <c r="C209" s="92" t="str">
        <f>IF($A209="","",VLOOKUP($A209,'Annex 2 EHV charges'!$D:$O,3,0))</f>
        <v/>
      </c>
      <c r="D209" s="91" t="str">
        <f>IF($A209="","",VLOOKUP($A209,'Annex 2 EHV charges'!$D:$O,4,0))</f>
        <v/>
      </c>
      <c r="E209" s="93" t="str">
        <f>IFERROR(IF(VLOOKUP($A209,'Annex 2 EHV charges'!$D:$O,9,FALSE)=0,"",VLOOKUP($A209,'Annex 2 EHV charges'!$D:$O,9,FALSE)),"")</f>
        <v/>
      </c>
      <c r="F209" s="94" t="str">
        <f>IFERROR(IF(VLOOKUP($A209,'Annex 2 EHV charges'!$D:$O,10,FALSE)=0,"",VLOOKUP($A209,'Annex 2 EHV charges'!$D:$O,10,FALSE)),"")</f>
        <v/>
      </c>
      <c r="G209" s="95" t="str">
        <f>IFERROR(IF(VLOOKUP($A209,'Annex 2 EHV charges'!$D:$O,11,FALSE)=0,"",VLOOKUP($A209,'Annex 2 EHV charges'!$D:$O,11,FALSE)),"")</f>
        <v/>
      </c>
      <c r="H209" s="95" t="str">
        <f>IFERROR(IF(VLOOKUP($A209,'Annex 2 EHV charges'!$D:$O,12,FALSE)=0,"",VLOOKUP($A209,'Annex 2 EHV charges'!$D:$O,12,FALSE)),"")</f>
        <v/>
      </c>
    </row>
    <row r="210" spans="1:8" x14ac:dyDescent="0.2">
      <c r="A210" s="92" t="str">
        <f t="array" ref="A210">IFERROR(INDEX('Annex 2 EHV charges'!$D$10:$D$259, MATCH(0, IF(ISBLANK('Annex 2 EHV charges'!$D$10:$D$259),1, COUNTIF(A$4:$A209, 'Annex 2 EHV charges'!$D$10:$D$259)), 0)),"")</f>
        <v/>
      </c>
      <c r="B210" s="91" t="str">
        <f>IF($A210="","",VLOOKUP($A210,'Annex 2 EHV charges'!$D:$O,2,0))</f>
        <v/>
      </c>
      <c r="C210" s="92" t="str">
        <f>IF($A210="","",VLOOKUP($A210,'Annex 2 EHV charges'!$D:$O,3,0))</f>
        <v/>
      </c>
      <c r="D210" s="91" t="str">
        <f>IF($A210="","",VLOOKUP($A210,'Annex 2 EHV charges'!$D:$O,4,0))</f>
        <v/>
      </c>
      <c r="E210" s="93" t="str">
        <f>IFERROR(IF(VLOOKUP($A210,'Annex 2 EHV charges'!$D:$O,9,FALSE)=0,"",VLOOKUP($A210,'Annex 2 EHV charges'!$D:$O,9,FALSE)),"")</f>
        <v/>
      </c>
      <c r="F210" s="94" t="str">
        <f>IFERROR(IF(VLOOKUP($A210,'Annex 2 EHV charges'!$D:$O,10,FALSE)=0,"",VLOOKUP($A210,'Annex 2 EHV charges'!$D:$O,10,FALSE)),"")</f>
        <v/>
      </c>
      <c r="G210" s="95" t="str">
        <f>IFERROR(IF(VLOOKUP($A210,'Annex 2 EHV charges'!$D:$O,11,FALSE)=0,"",VLOOKUP($A210,'Annex 2 EHV charges'!$D:$O,11,FALSE)),"")</f>
        <v/>
      </c>
      <c r="H210" s="95" t="str">
        <f>IFERROR(IF(VLOOKUP($A210,'Annex 2 EHV charges'!$D:$O,12,FALSE)=0,"",VLOOKUP($A210,'Annex 2 EHV charges'!$D:$O,12,FALSE)),"")</f>
        <v/>
      </c>
    </row>
    <row r="211" spans="1:8" x14ac:dyDescent="0.2">
      <c r="A211" s="92" t="str">
        <f t="array" ref="A211">IFERROR(INDEX('Annex 2 EHV charges'!$D$10:$D$259, MATCH(0, IF(ISBLANK('Annex 2 EHV charges'!$D$10:$D$259),1, COUNTIF(A$4:$A210, 'Annex 2 EHV charges'!$D$10:$D$259)), 0)),"")</f>
        <v/>
      </c>
      <c r="B211" s="91" t="str">
        <f>IF($A211="","",VLOOKUP($A211,'Annex 2 EHV charges'!$D:$O,2,0))</f>
        <v/>
      </c>
      <c r="C211" s="92" t="str">
        <f>IF($A211="","",VLOOKUP($A211,'Annex 2 EHV charges'!$D:$O,3,0))</f>
        <v/>
      </c>
      <c r="D211" s="91" t="str">
        <f>IF($A211="","",VLOOKUP($A211,'Annex 2 EHV charges'!$D:$O,4,0))</f>
        <v/>
      </c>
      <c r="E211" s="93" t="str">
        <f>IFERROR(IF(VLOOKUP($A211,'Annex 2 EHV charges'!$D:$O,9,FALSE)=0,"",VLOOKUP($A211,'Annex 2 EHV charges'!$D:$O,9,FALSE)),"")</f>
        <v/>
      </c>
      <c r="F211" s="94" t="str">
        <f>IFERROR(IF(VLOOKUP($A211,'Annex 2 EHV charges'!$D:$O,10,FALSE)=0,"",VLOOKUP($A211,'Annex 2 EHV charges'!$D:$O,10,FALSE)),"")</f>
        <v/>
      </c>
      <c r="G211" s="95" t="str">
        <f>IFERROR(IF(VLOOKUP($A211,'Annex 2 EHV charges'!$D:$O,11,FALSE)=0,"",VLOOKUP($A211,'Annex 2 EHV charges'!$D:$O,11,FALSE)),"")</f>
        <v/>
      </c>
      <c r="H211" s="95" t="str">
        <f>IFERROR(IF(VLOOKUP($A211,'Annex 2 EHV charges'!$D:$O,12,FALSE)=0,"",VLOOKUP($A211,'Annex 2 EHV charges'!$D:$O,12,FALSE)),"")</f>
        <v/>
      </c>
    </row>
    <row r="212" spans="1:8" x14ac:dyDescent="0.2">
      <c r="A212" s="92" t="str">
        <f t="array" ref="A212">IFERROR(INDEX('Annex 2 EHV charges'!$D$10:$D$259, MATCH(0, IF(ISBLANK('Annex 2 EHV charges'!$D$10:$D$259),1, COUNTIF(A$4:$A211, 'Annex 2 EHV charges'!$D$10:$D$259)), 0)),"")</f>
        <v/>
      </c>
      <c r="B212" s="91" t="str">
        <f>IF($A212="","",VLOOKUP($A212,'Annex 2 EHV charges'!$D:$O,2,0))</f>
        <v/>
      </c>
      <c r="C212" s="92" t="str">
        <f>IF($A212="","",VLOOKUP($A212,'Annex 2 EHV charges'!$D:$O,3,0))</f>
        <v/>
      </c>
      <c r="D212" s="91" t="str">
        <f>IF($A212="","",VLOOKUP($A212,'Annex 2 EHV charges'!$D:$O,4,0))</f>
        <v/>
      </c>
      <c r="E212" s="93" t="str">
        <f>IFERROR(IF(VLOOKUP($A212,'Annex 2 EHV charges'!$D:$O,9,FALSE)=0,"",VLOOKUP($A212,'Annex 2 EHV charges'!$D:$O,9,FALSE)),"")</f>
        <v/>
      </c>
      <c r="F212" s="94" t="str">
        <f>IFERROR(IF(VLOOKUP($A212,'Annex 2 EHV charges'!$D:$O,10,FALSE)=0,"",VLOOKUP($A212,'Annex 2 EHV charges'!$D:$O,10,FALSE)),"")</f>
        <v/>
      </c>
      <c r="G212" s="95" t="str">
        <f>IFERROR(IF(VLOOKUP($A212,'Annex 2 EHV charges'!$D:$O,11,FALSE)=0,"",VLOOKUP($A212,'Annex 2 EHV charges'!$D:$O,11,FALSE)),"")</f>
        <v/>
      </c>
      <c r="H212" s="95" t="str">
        <f>IFERROR(IF(VLOOKUP($A212,'Annex 2 EHV charges'!$D:$O,12,FALSE)=0,"",VLOOKUP($A212,'Annex 2 EHV charges'!$D:$O,12,FALSE)),"")</f>
        <v/>
      </c>
    </row>
    <row r="213" spans="1:8" x14ac:dyDescent="0.2">
      <c r="A213" s="92" t="str">
        <f t="array" ref="A213">IFERROR(INDEX('Annex 2 EHV charges'!$D$10:$D$259, MATCH(0, IF(ISBLANK('Annex 2 EHV charges'!$D$10:$D$259),1, COUNTIF(A$4:$A212, 'Annex 2 EHV charges'!$D$10:$D$259)), 0)),"")</f>
        <v/>
      </c>
      <c r="B213" s="91" t="str">
        <f>IF($A213="","",VLOOKUP($A213,'Annex 2 EHV charges'!$D:$O,2,0))</f>
        <v/>
      </c>
      <c r="C213" s="92" t="str">
        <f>IF($A213="","",VLOOKUP($A213,'Annex 2 EHV charges'!$D:$O,3,0))</f>
        <v/>
      </c>
      <c r="D213" s="91" t="str">
        <f>IF($A213="","",VLOOKUP($A213,'Annex 2 EHV charges'!$D:$O,4,0))</f>
        <v/>
      </c>
      <c r="E213" s="93" t="str">
        <f>IFERROR(IF(VLOOKUP($A213,'Annex 2 EHV charges'!$D:$O,9,FALSE)=0,"",VLOOKUP($A213,'Annex 2 EHV charges'!$D:$O,9,FALSE)),"")</f>
        <v/>
      </c>
      <c r="F213" s="94" t="str">
        <f>IFERROR(IF(VLOOKUP($A213,'Annex 2 EHV charges'!$D:$O,10,FALSE)=0,"",VLOOKUP($A213,'Annex 2 EHV charges'!$D:$O,10,FALSE)),"")</f>
        <v/>
      </c>
      <c r="G213" s="95" t="str">
        <f>IFERROR(IF(VLOOKUP($A213,'Annex 2 EHV charges'!$D:$O,11,FALSE)=0,"",VLOOKUP($A213,'Annex 2 EHV charges'!$D:$O,11,FALSE)),"")</f>
        <v/>
      </c>
      <c r="H213" s="95" t="str">
        <f>IFERROR(IF(VLOOKUP($A213,'Annex 2 EHV charges'!$D:$O,12,FALSE)=0,"",VLOOKUP($A213,'Annex 2 EHV charges'!$D:$O,12,FALSE)),"")</f>
        <v/>
      </c>
    </row>
    <row r="214" spans="1:8" x14ac:dyDescent="0.2">
      <c r="A214" s="92" t="str">
        <f t="array" ref="A214">IFERROR(INDEX('Annex 2 EHV charges'!$D$10:$D$259, MATCH(0, IF(ISBLANK('Annex 2 EHV charges'!$D$10:$D$259),1, COUNTIF(A$4:$A213, 'Annex 2 EHV charges'!$D$10:$D$259)), 0)),"")</f>
        <v/>
      </c>
      <c r="B214" s="91" t="str">
        <f>IF($A214="","",VLOOKUP($A214,'Annex 2 EHV charges'!$D:$O,2,0))</f>
        <v/>
      </c>
      <c r="C214" s="92" t="str">
        <f>IF($A214="","",VLOOKUP($A214,'Annex 2 EHV charges'!$D:$O,3,0))</f>
        <v/>
      </c>
      <c r="D214" s="91" t="str">
        <f>IF($A214="","",VLOOKUP($A214,'Annex 2 EHV charges'!$D:$O,4,0))</f>
        <v/>
      </c>
      <c r="E214" s="93" t="str">
        <f>IFERROR(IF(VLOOKUP($A214,'Annex 2 EHV charges'!$D:$O,9,FALSE)=0,"",VLOOKUP($A214,'Annex 2 EHV charges'!$D:$O,9,FALSE)),"")</f>
        <v/>
      </c>
      <c r="F214" s="94" t="str">
        <f>IFERROR(IF(VLOOKUP($A214,'Annex 2 EHV charges'!$D:$O,10,FALSE)=0,"",VLOOKUP($A214,'Annex 2 EHV charges'!$D:$O,10,FALSE)),"")</f>
        <v/>
      </c>
      <c r="G214" s="95" t="str">
        <f>IFERROR(IF(VLOOKUP($A214,'Annex 2 EHV charges'!$D:$O,11,FALSE)=0,"",VLOOKUP($A214,'Annex 2 EHV charges'!$D:$O,11,FALSE)),"")</f>
        <v/>
      </c>
      <c r="H214" s="95" t="str">
        <f>IFERROR(IF(VLOOKUP($A214,'Annex 2 EHV charges'!$D:$O,12,FALSE)=0,"",VLOOKUP($A214,'Annex 2 EHV charges'!$D:$O,12,FALSE)),"")</f>
        <v/>
      </c>
    </row>
    <row r="215" spans="1:8" x14ac:dyDescent="0.2">
      <c r="A215" s="92" t="str">
        <f t="array" ref="A215">IFERROR(INDEX('Annex 2 EHV charges'!$D$10:$D$259, MATCH(0, IF(ISBLANK('Annex 2 EHV charges'!$D$10:$D$259),1, COUNTIF(A$4:$A214, 'Annex 2 EHV charges'!$D$10:$D$259)), 0)),"")</f>
        <v/>
      </c>
      <c r="B215" s="91" t="str">
        <f>IF($A215="","",VLOOKUP($A215,'Annex 2 EHV charges'!$D:$O,2,0))</f>
        <v/>
      </c>
      <c r="C215" s="92" t="str">
        <f>IF($A215="","",VLOOKUP($A215,'Annex 2 EHV charges'!$D:$O,3,0))</f>
        <v/>
      </c>
      <c r="D215" s="91" t="str">
        <f>IF($A215="","",VLOOKUP($A215,'Annex 2 EHV charges'!$D:$O,4,0))</f>
        <v/>
      </c>
      <c r="E215" s="93" t="str">
        <f>IFERROR(IF(VLOOKUP($A215,'Annex 2 EHV charges'!$D:$O,9,FALSE)=0,"",VLOOKUP($A215,'Annex 2 EHV charges'!$D:$O,9,FALSE)),"")</f>
        <v/>
      </c>
      <c r="F215" s="94" t="str">
        <f>IFERROR(IF(VLOOKUP($A215,'Annex 2 EHV charges'!$D:$O,10,FALSE)=0,"",VLOOKUP($A215,'Annex 2 EHV charges'!$D:$O,10,FALSE)),"")</f>
        <v/>
      </c>
      <c r="G215" s="95" t="str">
        <f>IFERROR(IF(VLOOKUP($A215,'Annex 2 EHV charges'!$D:$O,11,FALSE)=0,"",VLOOKUP($A215,'Annex 2 EHV charges'!$D:$O,11,FALSE)),"")</f>
        <v/>
      </c>
      <c r="H215" s="95" t="str">
        <f>IFERROR(IF(VLOOKUP($A215,'Annex 2 EHV charges'!$D:$O,12,FALSE)=0,"",VLOOKUP($A215,'Annex 2 EHV charges'!$D:$O,12,FALSE)),"")</f>
        <v/>
      </c>
    </row>
    <row r="216" spans="1:8" x14ac:dyDescent="0.2">
      <c r="A216" s="92" t="str">
        <f t="array" ref="A216">IFERROR(INDEX('Annex 2 EHV charges'!$D$10:$D$259, MATCH(0, IF(ISBLANK('Annex 2 EHV charges'!$D$10:$D$259),1, COUNTIF(A$4:$A215, 'Annex 2 EHV charges'!$D$10:$D$259)), 0)),"")</f>
        <v/>
      </c>
      <c r="B216" s="91" t="str">
        <f>IF($A216="","",VLOOKUP($A216,'Annex 2 EHV charges'!$D:$O,2,0))</f>
        <v/>
      </c>
      <c r="C216" s="92" t="str">
        <f>IF($A216="","",VLOOKUP($A216,'Annex 2 EHV charges'!$D:$O,3,0))</f>
        <v/>
      </c>
      <c r="D216" s="91" t="str">
        <f>IF($A216="","",VLOOKUP($A216,'Annex 2 EHV charges'!$D:$O,4,0))</f>
        <v/>
      </c>
      <c r="E216" s="93" t="str">
        <f>IFERROR(IF(VLOOKUP($A216,'Annex 2 EHV charges'!$D:$O,9,FALSE)=0,"",VLOOKUP($A216,'Annex 2 EHV charges'!$D:$O,9,FALSE)),"")</f>
        <v/>
      </c>
      <c r="F216" s="94" t="str">
        <f>IFERROR(IF(VLOOKUP($A216,'Annex 2 EHV charges'!$D:$O,10,FALSE)=0,"",VLOOKUP($A216,'Annex 2 EHV charges'!$D:$O,10,FALSE)),"")</f>
        <v/>
      </c>
      <c r="G216" s="95" t="str">
        <f>IFERROR(IF(VLOOKUP($A216,'Annex 2 EHV charges'!$D:$O,11,FALSE)=0,"",VLOOKUP($A216,'Annex 2 EHV charges'!$D:$O,11,FALSE)),"")</f>
        <v/>
      </c>
      <c r="H216" s="95" t="str">
        <f>IFERROR(IF(VLOOKUP($A216,'Annex 2 EHV charges'!$D:$O,12,FALSE)=0,"",VLOOKUP($A216,'Annex 2 EHV charges'!$D:$O,12,FALSE)),"")</f>
        <v/>
      </c>
    </row>
    <row r="217" spans="1:8" x14ac:dyDescent="0.2">
      <c r="A217" s="92" t="str">
        <f t="array" ref="A217">IFERROR(INDEX('Annex 2 EHV charges'!$D$10:$D$259, MATCH(0, IF(ISBLANK('Annex 2 EHV charges'!$D$10:$D$259),1, COUNTIF(A$4:$A216, 'Annex 2 EHV charges'!$D$10:$D$259)), 0)),"")</f>
        <v/>
      </c>
      <c r="B217" s="91" t="str">
        <f>IF($A217="","",VLOOKUP($A217,'Annex 2 EHV charges'!$D:$O,2,0))</f>
        <v/>
      </c>
      <c r="C217" s="92" t="str">
        <f>IF($A217="","",VLOOKUP($A217,'Annex 2 EHV charges'!$D:$O,3,0))</f>
        <v/>
      </c>
      <c r="D217" s="91" t="str">
        <f>IF($A217="","",VLOOKUP($A217,'Annex 2 EHV charges'!$D:$O,4,0))</f>
        <v/>
      </c>
      <c r="E217" s="93" t="str">
        <f>IFERROR(IF(VLOOKUP($A217,'Annex 2 EHV charges'!$D:$O,9,FALSE)=0,"",VLOOKUP($A217,'Annex 2 EHV charges'!$D:$O,9,FALSE)),"")</f>
        <v/>
      </c>
      <c r="F217" s="94" t="str">
        <f>IFERROR(IF(VLOOKUP($A217,'Annex 2 EHV charges'!$D:$O,10,FALSE)=0,"",VLOOKUP($A217,'Annex 2 EHV charges'!$D:$O,10,FALSE)),"")</f>
        <v/>
      </c>
      <c r="G217" s="95" t="str">
        <f>IFERROR(IF(VLOOKUP($A217,'Annex 2 EHV charges'!$D:$O,11,FALSE)=0,"",VLOOKUP($A217,'Annex 2 EHV charges'!$D:$O,11,FALSE)),"")</f>
        <v/>
      </c>
      <c r="H217" s="95" t="str">
        <f>IFERROR(IF(VLOOKUP($A217,'Annex 2 EHV charges'!$D:$O,12,FALSE)=0,"",VLOOKUP($A217,'Annex 2 EHV charges'!$D:$O,12,FALSE)),"")</f>
        <v/>
      </c>
    </row>
    <row r="218" spans="1:8" x14ac:dyDescent="0.2">
      <c r="A218" s="92" t="str">
        <f t="array" ref="A218">IFERROR(INDEX('Annex 2 EHV charges'!$D$10:$D$259, MATCH(0, IF(ISBLANK('Annex 2 EHV charges'!$D$10:$D$259),1, COUNTIF(A$4:$A217, 'Annex 2 EHV charges'!$D$10:$D$259)), 0)),"")</f>
        <v/>
      </c>
      <c r="B218" s="91" t="str">
        <f>IF($A218="","",VLOOKUP($A218,'Annex 2 EHV charges'!$D:$O,2,0))</f>
        <v/>
      </c>
      <c r="C218" s="92" t="str">
        <f>IF($A218="","",VLOOKUP($A218,'Annex 2 EHV charges'!$D:$O,3,0))</f>
        <v/>
      </c>
      <c r="D218" s="91" t="str">
        <f>IF($A218="","",VLOOKUP($A218,'Annex 2 EHV charges'!$D:$O,4,0))</f>
        <v/>
      </c>
      <c r="E218" s="93" t="str">
        <f>IFERROR(IF(VLOOKUP($A218,'Annex 2 EHV charges'!$D:$O,9,FALSE)=0,"",VLOOKUP($A218,'Annex 2 EHV charges'!$D:$O,9,FALSE)),"")</f>
        <v/>
      </c>
      <c r="F218" s="94" t="str">
        <f>IFERROR(IF(VLOOKUP($A218,'Annex 2 EHV charges'!$D:$O,10,FALSE)=0,"",VLOOKUP($A218,'Annex 2 EHV charges'!$D:$O,10,FALSE)),"")</f>
        <v/>
      </c>
      <c r="G218" s="95" t="str">
        <f>IFERROR(IF(VLOOKUP($A218,'Annex 2 EHV charges'!$D:$O,11,FALSE)=0,"",VLOOKUP($A218,'Annex 2 EHV charges'!$D:$O,11,FALSE)),"")</f>
        <v/>
      </c>
      <c r="H218" s="95" t="str">
        <f>IFERROR(IF(VLOOKUP($A218,'Annex 2 EHV charges'!$D:$O,12,FALSE)=0,"",VLOOKUP($A218,'Annex 2 EHV charges'!$D:$O,12,FALSE)),"")</f>
        <v/>
      </c>
    </row>
    <row r="219" spans="1:8" x14ac:dyDescent="0.2">
      <c r="A219" s="92" t="str">
        <f t="array" ref="A219">IFERROR(INDEX('Annex 2 EHV charges'!$D$10:$D$259, MATCH(0, IF(ISBLANK('Annex 2 EHV charges'!$D$10:$D$259),1, COUNTIF(A$4:$A218, 'Annex 2 EHV charges'!$D$10:$D$259)), 0)),"")</f>
        <v/>
      </c>
      <c r="B219" s="91" t="str">
        <f>IF($A219="","",VLOOKUP($A219,'Annex 2 EHV charges'!$D:$O,2,0))</f>
        <v/>
      </c>
      <c r="C219" s="92" t="str">
        <f>IF($A219="","",VLOOKUP($A219,'Annex 2 EHV charges'!$D:$O,3,0))</f>
        <v/>
      </c>
      <c r="D219" s="91" t="str">
        <f>IF($A219="","",VLOOKUP($A219,'Annex 2 EHV charges'!$D:$O,4,0))</f>
        <v/>
      </c>
      <c r="E219" s="93" t="str">
        <f>IFERROR(IF(VLOOKUP($A219,'Annex 2 EHV charges'!$D:$O,9,FALSE)=0,"",VLOOKUP($A219,'Annex 2 EHV charges'!$D:$O,9,FALSE)),"")</f>
        <v/>
      </c>
      <c r="F219" s="94" t="str">
        <f>IFERROR(IF(VLOOKUP($A219,'Annex 2 EHV charges'!$D:$O,10,FALSE)=0,"",VLOOKUP($A219,'Annex 2 EHV charges'!$D:$O,10,FALSE)),"")</f>
        <v/>
      </c>
      <c r="G219" s="95" t="str">
        <f>IFERROR(IF(VLOOKUP($A219,'Annex 2 EHV charges'!$D:$O,11,FALSE)=0,"",VLOOKUP($A219,'Annex 2 EHV charges'!$D:$O,11,FALSE)),"")</f>
        <v/>
      </c>
      <c r="H219" s="95" t="str">
        <f>IFERROR(IF(VLOOKUP($A219,'Annex 2 EHV charges'!$D:$O,12,FALSE)=0,"",VLOOKUP($A219,'Annex 2 EHV charges'!$D:$O,12,FALSE)),"")</f>
        <v/>
      </c>
    </row>
    <row r="220" spans="1:8" x14ac:dyDescent="0.2">
      <c r="A220" s="92" t="str">
        <f t="array" ref="A220">IFERROR(INDEX('Annex 2 EHV charges'!$D$10:$D$259, MATCH(0, IF(ISBLANK('Annex 2 EHV charges'!$D$10:$D$259),1, COUNTIF(A$4:$A219, 'Annex 2 EHV charges'!$D$10:$D$259)), 0)),"")</f>
        <v/>
      </c>
      <c r="B220" s="91" t="str">
        <f>IF($A220="","",VLOOKUP($A220,'Annex 2 EHV charges'!$D:$O,2,0))</f>
        <v/>
      </c>
      <c r="C220" s="92" t="str">
        <f>IF($A220="","",VLOOKUP($A220,'Annex 2 EHV charges'!$D:$O,3,0))</f>
        <v/>
      </c>
      <c r="D220" s="91" t="str">
        <f>IF($A220="","",VLOOKUP($A220,'Annex 2 EHV charges'!$D:$O,4,0))</f>
        <v/>
      </c>
      <c r="E220" s="93" t="str">
        <f>IFERROR(IF(VLOOKUP($A220,'Annex 2 EHV charges'!$D:$O,9,FALSE)=0,"",VLOOKUP($A220,'Annex 2 EHV charges'!$D:$O,9,FALSE)),"")</f>
        <v/>
      </c>
      <c r="F220" s="94" t="str">
        <f>IFERROR(IF(VLOOKUP($A220,'Annex 2 EHV charges'!$D:$O,10,FALSE)=0,"",VLOOKUP($A220,'Annex 2 EHV charges'!$D:$O,10,FALSE)),"")</f>
        <v/>
      </c>
      <c r="G220" s="95" t="str">
        <f>IFERROR(IF(VLOOKUP($A220,'Annex 2 EHV charges'!$D:$O,11,FALSE)=0,"",VLOOKUP($A220,'Annex 2 EHV charges'!$D:$O,11,FALSE)),"")</f>
        <v/>
      </c>
      <c r="H220" s="95" t="str">
        <f>IFERROR(IF(VLOOKUP($A220,'Annex 2 EHV charges'!$D:$O,12,FALSE)=0,"",VLOOKUP($A220,'Annex 2 EHV charges'!$D:$O,12,FALSE)),"")</f>
        <v/>
      </c>
    </row>
    <row r="221" spans="1:8" x14ac:dyDescent="0.2">
      <c r="A221" s="92" t="str">
        <f t="array" ref="A221">IFERROR(INDEX('Annex 2 EHV charges'!$D$10:$D$259, MATCH(0, IF(ISBLANK('Annex 2 EHV charges'!$D$10:$D$259),1, COUNTIF(A$4:$A220, 'Annex 2 EHV charges'!$D$10:$D$259)), 0)),"")</f>
        <v/>
      </c>
      <c r="B221" s="91" t="str">
        <f>IF($A221="","",VLOOKUP($A221,'Annex 2 EHV charges'!$D:$O,2,0))</f>
        <v/>
      </c>
      <c r="C221" s="92" t="str">
        <f>IF($A221="","",VLOOKUP($A221,'Annex 2 EHV charges'!$D:$O,3,0))</f>
        <v/>
      </c>
      <c r="D221" s="91" t="str">
        <f>IF($A221="","",VLOOKUP($A221,'Annex 2 EHV charges'!$D:$O,4,0))</f>
        <v/>
      </c>
      <c r="E221" s="93" t="str">
        <f>IFERROR(IF(VLOOKUP($A221,'Annex 2 EHV charges'!$D:$O,9,FALSE)=0,"",VLOOKUP($A221,'Annex 2 EHV charges'!$D:$O,9,FALSE)),"")</f>
        <v/>
      </c>
      <c r="F221" s="94" t="str">
        <f>IFERROR(IF(VLOOKUP($A221,'Annex 2 EHV charges'!$D:$O,10,FALSE)=0,"",VLOOKUP($A221,'Annex 2 EHV charges'!$D:$O,10,FALSE)),"")</f>
        <v/>
      </c>
      <c r="G221" s="95" t="str">
        <f>IFERROR(IF(VLOOKUP($A221,'Annex 2 EHV charges'!$D:$O,11,FALSE)=0,"",VLOOKUP($A221,'Annex 2 EHV charges'!$D:$O,11,FALSE)),"")</f>
        <v/>
      </c>
      <c r="H221" s="95" t="str">
        <f>IFERROR(IF(VLOOKUP($A221,'Annex 2 EHV charges'!$D:$O,12,FALSE)=0,"",VLOOKUP($A221,'Annex 2 EHV charges'!$D:$O,12,FALSE)),"")</f>
        <v/>
      </c>
    </row>
    <row r="222" spans="1:8" x14ac:dyDescent="0.2">
      <c r="A222" s="92" t="str">
        <f t="array" ref="A222">IFERROR(INDEX('Annex 2 EHV charges'!$D$10:$D$259, MATCH(0, IF(ISBLANK('Annex 2 EHV charges'!$D$10:$D$259),1, COUNTIF(A$4:$A221, 'Annex 2 EHV charges'!$D$10:$D$259)), 0)),"")</f>
        <v/>
      </c>
      <c r="B222" s="91" t="str">
        <f>IF($A222="","",VLOOKUP($A222,'Annex 2 EHV charges'!$D:$O,2,0))</f>
        <v/>
      </c>
      <c r="C222" s="92" t="str">
        <f>IF($A222="","",VLOOKUP($A222,'Annex 2 EHV charges'!$D:$O,3,0))</f>
        <v/>
      </c>
      <c r="D222" s="91" t="str">
        <f>IF($A222="","",VLOOKUP($A222,'Annex 2 EHV charges'!$D:$O,4,0))</f>
        <v/>
      </c>
      <c r="E222" s="93" t="str">
        <f>IFERROR(IF(VLOOKUP($A222,'Annex 2 EHV charges'!$D:$O,9,FALSE)=0,"",VLOOKUP($A222,'Annex 2 EHV charges'!$D:$O,9,FALSE)),"")</f>
        <v/>
      </c>
      <c r="F222" s="94" t="str">
        <f>IFERROR(IF(VLOOKUP($A222,'Annex 2 EHV charges'!$D:$O,10,FALSE)=0,"",VLOOKUP($A222,'Annex 2 EHV charges'!$D:$O,10,FALSE)),"")</f>
        <v/>
      </c>
      <c r="G222" s="95" t="str">
        <f>IFERROR(IF(VLOOKUP($A222,'Annex 2 EHV charges'!$D:$O,11,FALSE)=0,"",VLOOKUP($A222,'Annex 2 EHV charges'!$D:$O,11,FALSE)),"")</f>
        <v/>
      </c>
      <c r="H222" s="95" t="str">
        <f>IFERROR(IF(VLOOKUP($A222,'Annex 2 EHV charges'!$D:$O,12,FALSE)=0,"",VLOOKUP($A222,'Annex 2 EHV charges'!$D:$O,12,FALSE)),"")</f>
        <v/>
      </c>
    </row>
    <row r="223" spans="1:8" x14ac:dyDescent="0.2">
      <c r="A223" s="92" t="str">
        <f t="array" ref="A223">IFERROR(INDEX('Annex 2 EHV charges'!$D$10:$D$259, MATCH(0, IF(ISBLANK('Annex 2 EHV charges'!$D$10:$D$259),1, COUNTIF(A$4:$A222, 'Annex 2 EHV charges'!$D$10:$D$259)), 0)),"")</f>
        <v/>
      </c>
      <c r="B223" s="91" t="str">
        <f>IF($A223="","",VLOOKUP($A223,'Annex 2 EHV charges'!$D:$O,2,0))</f>
        <v/>
      </c>
      <c r="C223" s="92" t="str">
        <f>IF($A223="","",VLOOKUP($A223,'Annex 2 EHV charges'!$D:$O,3,0))</f>
        <v/>
      </c>
      <c r="D223" s="91" t="str">
        <f>IF($A223="","",VLOOKUP($A223,'Annex 2 EHV charges'!$D:$O,4,0))</f>
        <v/>
      </c>
      <c r="E223" s="93" t="str">
        <f>IFERROR(IF(VLOOKUP($A223,'Annex 2 EHV charges'!$D:$O,9,FALSE)=0,"",VLOOKUP($A223,'Annex 2 EHV charges'!$D:$O,9,FALSE)),"")</f>
        <v/>
      </c>
      <c r="F223" s="94" t="str">
        <f>IFERROR(IF(VLOOKUP($A223,'Annex 2 EHV charges'!$D:$O,10,FALSE)=0,"",VLOOKUP($A223,'Annex 2 EHV charges'!$D:$O,10,FALSE)),"")</f>
        <v/>
      </c>
      <c r="G223" s="95" t="str">
        <f>IFERROR(IF(VLOOKUP($A223,'Annex 2 EHV charges'!$D:$O,11,FALSE)=0,"",VLOOKUP($A223,'Annex 2 EHV charges'!$D:$O,11,FALSE)),"")</f>
        <v/>
      </c>
      <c r="H223" s="95" t="str">
        <f>IFERROR(IF(VLOOKUP($A223,'Annex 2 EHV charges'!$D:$O,12,FALSE)=0,"",VLOOKUP($A223,'Annex 2 EHV charges'!$D:$O,12,FALSE)),"")</f>
        <v/>
      </c>
    </row>
    <row r="224" spans="1:8" x14ac:dyDescent="0.2">
      <c r="A224" s="92" t="str">
        <f t="array" ref="A224">IFERROR(INDEX('Annex 2 EHV charges'!$D$10:$D$259, MATCH(0, IF(ISBLANK('Annex 2 EHV charges'!$D$10:$D$259),1, COUNTIF(A$4:$A223, 'Annex 2 EHV charges'!$D$10:$D$259)), 0)),"")</f>
        <v/>
      </c>
      <c r="B224" s="91" t="str">
        <f>IF($A224="","",VLOOKUP($A224,'Annex 2 EHV charges'!$D:$O,2,0))</f>
        <v/>
      </c>
      <c r="C224" s="92" t="str">
        <f>IF($A224="","",VLOOKUP($A224,'Annex 2 EHV charges'!$D:$O,3,0))</f>
        <v/>
      </c>
      <c r="D224" s="91" t="str">
        <f>IF($A224="","",VLOOKUP($A224,'Annex 2 EHV charges'!$D:$O,4,0))</f>
        <v/>
      </c>
      <c r="E224" s="93" t="str">
        <f>IFERROR(IF(VLOOKUP($A224,'Annex 2 EHV charges'!$D:$O,9,FALSE)=0,"",VLOOKUP($A224,'Annex 2 EHV charges'!$D:$O,9,FALSE)),"")</f>
        <v/>
      </c>
      <c r="F224" s="94" t="str">
        <f>IFERROR(IF(VLOOKUP($A224,'Annex 2 EHV charges'!$D:$O,10,FALSE)=0,"",VLOOKUP($A224,'Annex 2 EHV charges'!$D:$O,10,FALSE)),"")</f>
        <v/>
      </c>
      <c r="G224" s="95" t="str">
        <f>IFERROR(IF(VLOOKUP($A224,'Annex 2 EHV charges'!$D:$O,11,FALSE)=0,"",VLOOKUP($A224,'Annex 2 EHV charges'!$D:$O,11,FALSE)),"")</f>
        <v/>
      </c>
      <c r="H224" s="95" t="str">
        <f>IFERROR(IF(VLOOKUP($A224,'Annex 2 EHV charges'!$D:$O,12,FALSE)=0,"",VLOOKUP($A224,'Annex 2 EHV charges'!$D:$O,12,FALSE)),"")</f>
        <v/>
      </c>
    </row>
    <row r="225" spans="1:8" x14ac:dyDescent="0.2">
      <c r="A225" s="92" t="str">
        <f t="array" ref="A225">IFERROR(INDEX('Annex 2 EHV charges'!$D$10:$D$259, MATCH(0, IF(ISBLANK('Annex 2 EHV charges'!$D$10:$D$259),1, COUNTIF(A$4:$A224, 'Annex 2 EHV charges'!$D$10:$D$259)), 0)),"")</f>
        <v/>
      </c>
      <c r="B225" s="91" t="str">
        <f>IF($A225="","",VLOOKUP($A225,'Annex 2 EHV charges'!$D:$O,2,0))</f>
        <v/>
      </c>
      <c r="C225" s="92" t="str">
        <f>IF($A225="","",VLOOKUP($A225,'Annex 2 EHV charges'!$D:$O,3,0))</f>
        <v/>
      </c>
      <c r="D225" s="91" t="str">
        <f>IF($A225="","",VLOOKUP($A225,'Annex 2 EHV charges'!$D:$O,4,0))</f>
        <v/>
      </c>
      <c r="E225" s="93" t="str">
        <f>IFERROR(IF(VLOOKUP($A225,'Annex 2 EHV charges'!$D:$O,9,FALSE)=0,"",VLOOKUP($A225,'Annex 2 EHV charges'!$D:$O,9,FALSE)),"")</f>
        <v/>
      </c>
      <c r="F225" s="94" t="str">
        <f>IFERROR(IF(VLOOKUP($A225,'Annex 2 EHV charges'!$D:$O,10,FALSE)=0,"",VLOOKUP($A225,'Annex 2 EHV charges'!$D:$O,10,FALSE)),"")</f>
        <v/>
      </c>
      <c r="G225" s="95" t="str">
        <f>IFERROR(IF(VLOOKUP($A225,'Annex 2 EHV charges'!$D:$O,11,FALSE)=0,"",VLOOKUP($A225,'Annex 2 EHV charges'!$D:$O,11,FALSE)),"")</f>
        <v/>
      </c>
      <c r="H225" s="95" t="str">
        <f>IFERROR(IF(VLOOKUP($A225,'Annex 2 EHV charges'!$D:$O,12,FALSE)=0,"",VLOOKUP($A225,'Annex 2 EHV charges'!$D:$O,12,FALSE)),"")</f>
        <v/>
      </c>
    </row>
    <row r="226" spans="1:8" x14ac:dyDescent="0.2">
      <c r="A226" s="92" t="str">
        <f t="array" ref="A226">IFERROR(INDEX('Annex 2 EHV charges'!$D$10:$D$259, MATCH(0, IF(ISBLANK('Annex 2 EHV charges'!$D$10:$D$259),1, COUNTIF(A$4:$A225, 'Annex 2 EHV charges'!$D$10:$D$259)), 0)),"")</f>
        <v/>
      </c>
      <c r="B226" s="91" t="str">
        <f>IF($A226="","",VLOOKUP($A226,'Annex 2 EHV charges'!$D:$O,2,0))</f>
        <v/>
      </c>
      <c r="C226" s="92" t="str">
        <f>IF($A226="","",VLOOKUP($A226,'Annex 2 EHV charges'!$D:$O,3,0))</f>
        <v/>
      </c>
      <c r="D226" s="91" t="str">
        <f>IF($A226="","",VLOOKUP($A226,'Annex 2 EHV charges'!$D:$O,4,0))</f>
        <v/>
      </c>
      <c r="E226" s="93" t="str">
        <f>IFERROR(IF(VLOOKUP($A226,'Annex 2 EHV charges'!$D:$O,9,FALSE)=0,"",VLOOKUP($A226,'Annex 2 EHV charges'!$D:$O,9,FALSE)),"")</f>
        <v/>
      </c>
      <c r="F226" s="94" t="str">
        <f>IFERROR(IF(VLOOKUP($A226,'Annex 2 EHV charges'!$D:$O,10,FALSE)=0,"",VLOOKUP($A226,'Annex 2 EHV charges'!$D:$O,10,FALSE)),"")</f>
        <v/>
      </c>
      <c r="G226" s="95" t="str">
        <f>IFERROR(IF(VLOOKUP($A226,'Annex 2 EHV charges'!$D:$O,11,FALSE)=0,"",VLOOKUP($A226,'Annex 2 EHV charges'!$D:$O,11,FALSE)),"")</f>
        <v/>
      </c>
      <c r="H226" s="95" t="str">
        <f>IFERROR(IF(VLOOKUP($A226,'Annex 2 EHV charges'!$D:$O,12,FALSE)=0,"",VLOOKUP($A226,'Annex 2 EHV charges'!$D:$O,12,FALSE)),"")</f>
        <v/>
      </c>
    </row>
    <row r="227" spans="1:8" x14ac:dyDescent="0.2">
      <c r="A227" s="92" t="str">
        <f t="array" ref="A227">IFERROR(INDEX('Annex 2 EHV charges'!$D$10:$D$259, MATCH(0, IF(ISBLANK('Annex 2 EHV charges'!$D$10:$D$259),1, COUNTIF(A$4:$A226, 'Annex 2 EHV charges'!$D$10:$D$259)), 0)),"")</f>
        <v/>
      </c>
      <c r="B227" s="91" t="str">
        <f>IF($A227="","",VLOOKUP($A227,'Annex 2 EHV charges'!$D:$O,2,0))</f>
        <v/>
      </c>
      <c r="C227" s="92" t="str">
        <f>IF($A227="","",VLOOKUP($A227,'Annex 2 EHV charges'!$D:$O,3,0))</f>
        <v/>
      </c>
      <c r="D227" s="91" t="str">
        <f>IF($A227="","",VLOOKUP($A227,'Annex 2 EHV charges'!$D:$O,4,0))</f>
        <v/>
      </c>
      <c r="E227" s="93" t="str">
        <f>IFERROR(IF(VLOOKUP($A227,'Annex 2 EHV charges'!$D:$O,9,FALSE)=0,"",VLOOKUP($A227,'Annex 2 EHV charges'!$D:$O,9,FALSE)),"")</f>
        <v/>
      </c>
      <c r="F227" s="94" t="str">
        <f>IFERROR(IF(VLOOKUP($A227,'Annex 2 EHV charges'!$D:$O,10,FALSE)=0,"",VLOOKUP($A227,'Annex 2 EHV charges'!$D:$O,10,FALSE)),"")</f>
        <v/>
      </c>
      <c r="G227" s="95" t="str">
        <f>IFERROR(IF(VLOOKUP($A227,'Annex 2 EHV charges'!$D:$O,11,FALSE)=0,"",VLOOKUP($A227,'Annex 2 EHV charges'!$D:$O,11,FALSE)),"")</f>
        <v/>
      </c>
      <c r="H227" s="95" t="str">
        <f>IFERROR(IF(VLOOKUP($A227,'Annex 2 EHV charges'!$D:$O,12,FALSE)=0,"",VLOOKUP($A227,'Annex 2 EHV charges'!$D:$O,12,FALSE)),"")</f>
        <v/>
      </c>
    </row>
    <row r="228" spans="1:8" x14ac:dyDescent="0.2">
      <c r="A228" s="92" t="str">
        <f t="array" ref="A228">IFERROR(INDEX('Annex 2 EHV charges'!$D$10:$D$259, MATCH(0, IF(ISBLANK('Annex 2 EHV charges'!$D$10:$D$259),1, COUNTIF(A$4:$A227, 'Annex 2 EHV charges'!$D$10:$D$259)), 0)),"")</f>
        <v/>
      </c>
      <c r="B228" s="91" t="str">
        <f>IF($A228="","",VLOOKUP($A228,'Annex 2 EHV charges'!$D:$O,2,0))</f>
        <v/>
      </c>
      <c r="C228" s="92" t="str">
        <f>IF($A228="","",VLOOKUP($A228,'Annex 2 EHV charges'!$D:$O,3,0))</f>
        <v/>
      </c>
      <c r="D228" s="91" t="str">
        <f>IF($A228="","",VLOOKUP($A228,'Annex 2 EHV charges'!$D:$O,4,0))</f>
        <v/>
      </c>
      <c r="E228" s="93" t="str">
        <f>IFERROR(IF(VLOOKUP($A228,'Annex 2 EHV charges'!$D:$O,9,FALSE)=0,"",VLOOKUP($A228,'Annex 2 EHV charges'!$D:$O,9,FALSE)),"")</f>
        <v/>
      </c>
      <c r="F228" s="94" t="str">
        <f>IFERROR(IF(VLOOKUP($A228,'Annex 2 EHV charges'!$D:$O,10,FALSE)=0,"",VLOOKUP($A228,'Annex 2 EHV charges'!$D:$O,10,FALSE)),"")</f>
        <v/>
      </c>
      <c r="G228" s="95" t="str">
        <f>IFERROR(IF(VLOOKUP($A228,'Annex 2 EHV charges'!$D:$O,11,FALSE)=0,"",VLOOKUP($A228,'Annex 2 EHV charges'!$D:$O,11,FALSE)),"")</f>
        <v/>
      </c>
      <c r="H228" s="95" t="str">
        <f>IFERROR(IF(VLOOKUP($A228,'Annex 2 EHV charges'!$D:$O,12,FALSE)=0,"",VLOOKUP($A228,'Annex 2 EHV charges'!$D:$O,12,FALSE)),"")</f>
        <v/>
      </c>
    </row>
    <row r="229" spans="1:8" x14ac:dyDescent="0.2">
      <c r="A229" s="92" t="str">
        <f t="array" ref="A229">IFERROR(INDEX('Annex 2 EHV charges'!$D$10:$D$259, MATCH(0, IF(ISBLANK('Annex 2 EHV charges'!$D$10:$D$259),1, COUNTIF(A$4:$A228, 'Annex 2 EHV charges'!$D$10:$D$259)), 0)),"")</f>
        <v/>
      </c>
      <c r="B229" s="91" t="str">
        <f>IF($A229="","",VLOOKUP($A229,'Annex 2 EHV charges'!$D:$O,2,0))</f>
        <v/>
      </c>
      <c r="C229" s="92" t="str">
        <f>IF($A229="","",VLOOKUP($A229,'Annex 2 EHV charges'!$D:$O,3,0))</f>
        <v/>
      </c>
      <c r="D229" s="91" t="str">
        <f>IF($A229="","",VLOOKUP($A229,'Annex 2 EHV charges'!$D:$O,4,0))</f>
        <v/>
      </c>
      <c r="E229" s="93" t="str">
        <f>IFERROR(IF(VLOOKUP($A229,'Annex 2 EHV charges'!$D:$O,9,FALSE)=0,"",VLOOKUP($A229,'Annex 2 EHV charges'!$D:$O,9,FALSE)),"")</f>
        <v/>
      </c>
      <c r="F229" s="94" t="str">
        <f>IFERROR(IF(VLOOKUP($A229,'Annex 2 EHV charges'!$D:$O,10,FALSE)=0,"",VLOOKUP($A229,'Annex 2 EHV charges'!$D:$O,10,FALSE)),"")</f>
        <v/>
      </c>
      <c r="G229" s="95" t="str">
        <f>IFERROR(IF(VLOOKUP($A229,'Annex 2 EHV charges'!$D:$O,11,FALSE)=0,"",VLOOKUP($A229,'Annex 2 EHV charges'!$D:$O,11,FALSE)),"")</f>
        <v/>
      </c>
      <c r="H229" s="95" t="str">
        <f>IFERROR(IF(VLOOKUP($A229,'Annex 2 EHV charges'!$D:$O,12,FALSE)=0,"",VLOOKUP($A229,'Annex 2 EHV charges'!$D:$O,12,FALSE)),"")</f>
        <v/>
      </c>
    </row>
    <row r="230" spans="1:8" x14ac:dyDescent="0.2">
      <c r="A230" s="92" t="str">
        <f t="array" ref="A230">IFERROR(INDEX('Annex 2 EHV charges'!$D$10:$D$259, MATCH(0, IF(ISBLANK('Annex 2 EHV charges'!$D$10:$D$259),1, COUNTIF(A$4:$A229, 'Annex 2 EHV charges'!$D$10:$D$259)), 0)),"")</f>
        <v/>
      </c>
      <c r="B230" s="91" t="str">
        <f>IF($A230="","",VLOOKUP($A230,'Annex 2 EHV charges'!$D:$O,2,0))</f>
        <v/>
      </c>
      <c r="C230" s="92" t="str">
        <f>IF($A230="","",VLOOKUP($A230,'Annex 2 EHV charges'!$D:$O,3,0))</f>
        <v/>
      </c>
      <c r="D230" s="91" t="str">
        <f>IF($A230="","",VLOOKUP($A230,'Annex 2 EHV charges'!$D:$O,4,0))</f>
        <v/>
      </c>
      <c r="E230" s="93" t="str">
        <f>IFERROR(IF(VLOOKUP($A230,'Annex 2 EHV charges'!$D:$O,9,FALSE)=0,"",VLOOKUP($A230,'Annex 2 EHV charges'!$D:$O,9,FALSE)),"")</f>
        <v/>
      </c>
      <c r="F230" s="94" t="str">
        <f>IFERROR(IF(VLOOKUP($A230,'Annex 2 EHV charges'!$D:$O,10,FALSE)=0,"",VLOOKUP($A230,'Annex 2 EHV charges'!$D:$O,10,FALSE)),"")</f>
        <v/>
      </c>
      <c r="G230" s="95" t="str">
        <f>IFERROR(IF(VLOOKUP($A230,'Annex 2 EHV charges'!$D:$O,11,FALSE)=0,"",VLOOKUP($A230,'Annex 2 EHV charges'!$D:$O,11,FALSE)),"")</f>
        <v/>
      </c>
      <c r="H230" s="95" t="str">
        <f>IFERROR(IF(VLOOKUP($A230,'Annex 2 EHV charges'!$D:$O,12,FALSE)=0,"",VLOOKUP($A230,'Annex 2 EHV charges'!$D:$O,12,FALSE)),"")</f>
        <v/>
      </c>
    </row>
    <row r="231" spans="1:8" x14ac:dyDescent="0.2">
      <c r="A231" s="92" t="str">
        <f t="array" ref="A231">IFERROR(INDEX('Annex 2 EHV charges'!$D$10:$D$259, MATCH(0, IF(ISBLANK('Annex 2 EHV charges'!$D$10:$D$259),1, COUNTIF(A$4:$A230, 'Annex 2 EHV charges'!$D$10:$D$259)), 0)),"")</f>
        <v/>
      </c>
      <c r="B231" s="91" t="str">
        <f>IF($A231="","",VLOOKUP($A231,'Annex 2 EHV charges'!$D:$O,2,0))</f>
        <v/>
      </c>
      <c r="C231" s="92" t="str">
        <f>IF($A231="","",VLOOKUP($A231,'Annex 2 EHV charges'!$D:$O,3,0))</f>
        <v/>
      </c>
      <c r="D231" s="91" t="str">
        <f>IF($A231="","",VLOOKUP($A231,'Annex 2 EHV charges'!$D:$O,4,0))</f>
        <v/>
      </c>
      <c r="E231" s="93" t="str">
        <f>IFERROR(IF(VLOOKUP($A231,'Annex 2 EHV charges'!$D:$O,9,FALSE)=0,"",VLOOKUP($A231,'Annex 2 EHV charges'!$D:$O,9,FALSE)),"")</f>
        <v/>
      </c>
      <c r="F231" s="94" t="str">
        <f>IFERROR(IF(VLOOKUP($A231,'Annex 2 EHV charges'!$D:$O,10,FALSE)=0,"",VLOOKUP($A231,'Annex 2 EHV charges'!$D:$O,10,FALSE)),"")</f>
        <v/>
      </c>
      <c r="G231" s="95" t="str">
        <f>IFERROR(IF(VLOOKUP($A231,'Annex 2 EHV charges'!$D:$O,11,FALSE)=0,"",VLOOKUP($A231,'Annex 2 EHV charges'!$D:$O,11,FALSE)),"")</f>
        <v/>
      </c>
      <c r="H231" s="95" t="str">
        <f>IFERROR(IF(VLOOKUP($A231,'Annex 2 EHV charges'!$D:$O,12,FALSE)=0,"",VLOOKUP($A231,'Annex 2 EHV charges'!$D:$O,12,FALSE)),"")</f>
        <v/>
      </c>
    </row>
    <row r="232" spans="1:8" x14ac:dyDescent="0.2">
      <c r="A232" s="92" t="str">
        <f t="array" ref="A232">IFERROR(INDEX('Annex 2 EHV charges'!$D$10:$D$259, MATCH(0, IF(ISBLANK('Annex 2 EHV charges'!$D$10:$D$259),1, COUNTIF(A$4:$A231, 'Annex 2 EHV charges'!$D$10:$D$259)), 0)),"")</f>
        <v/>
      </c>
      <c r="B232" s="91" t="str">
        <f>IF($A232="","",VLOOKUP($A232,'Annex 2 EHV charges'!$D:$O,2,0))</f>
        <v/>
      </c>
      <c r="C232" s="92" t="str">
        <f>IF($A232="","",VLOOKUP($A232,'Annex 2 EHV charges'!$D:$O,3,0))</f>
        <v/>
      </c>
      <c r="D232" s="91" t="str">
        <f>IF($A232="","",VLOOKUP($A232,'Annex 2 EHV charges'!$D:$O,4,0))</f>
        <v/>
      </c>
      <c r="E232" s="93" t="str">
        <f>IFERROR(IF(VLOOKUP($A232,'Annex 2 EHV charges'!$D:$O,9,FALSE)=0,"",VLOOKUP($A232,'Annex 2 EHV charges'!$D:$O,9,FALSE)),"")</f>
        <v/>
      </c>
      <c r="F232" s="94" t="str">
        <f>IFERROR(IF(VLOOKUP($A232,'Annex 2 EHV charges'!$D:$O,10,FALSE)=0,"",VLOOKUP($A232,'Annex 2 EHV charges'!$D:$O,10,FALSE)),"")</f>
        <v/>
      </c>
      <c r="G232" s="95" t="str">
        <f>IFERROR(IF(VLOOKUP($A232,'Annex 2 EHV charges'!$D:$O,11,FALSE)=0,"",VLOOKUP($A232,'Annex 2 EHV charges'!$D:$O,11,FALSE)),"")</f>
        <v/>
      </c>
      <c r="H232" s="95" t="str">
        <f>IFERROR(IF(VLOOKUP($A232,'Annex 2 EHV charges'!$D:$O,12,FALSE)=0,"",VLOOKUP($A232,'Annex 2 EHV charges'!$D:$O,12,FALSE)),"")</f>
        <v/>
      </c>
    </row>
    <row r="233" spans="1:8" x14ac:dyDescent="0.2">
      <c r="A233" s="92" t="str">
        <f t="array" ref="A233">IFERROR(INDEX('Annex 2 EHV charges'!$D$10:$D$259, MATCH(0, IF(ISBLANK('Annex 2 EHV charges'!$D$10:$D$259),1, COUNTIF(A$4:$A232, 'Annex 2 EHV charges'!$D$10:$D$259)), 0)),"")</f>
        <v/>
      </c>
      <c r="B233" s="91" t="str">
        <f>IF($A233="","",VLOOKUP($A233,'Annex 2 EHV charges'!$D:$O,2,0))</f>
        <v/>
      </c>
      <c r="C233" s="92" t="str">
        <f>IF($A233="","",VLOOKUP($A233,'Annex 2 EHV charges'!$D:$O,3,0))</f>
        <v/>
      </c>
      <c r="D233" s="91" t="str">
        <f>IF($A233="","",VLOOKUP($A233,'Annex 2 EHV charges'!$D:$O,4,0))</f>
        <v/>
      </c>
      <c r="E233" s="93" t="str">
        <f>IFERROR(IF(VLOOKUP($A233,'Annex 2 EHV charges'!$D:$O,9,FALSE)=0,"",VLOOKUP($A233,'Annex 2 EHV charges'!$D:$O,9,FALSE)),"")</f>
        <v/>
      </c>
      <c r="F233" s="94" t="str">
        <f>IFERROR(IF(VLOOKUP($A233,'Annex 2 EHV charges'!$D:$O,10,FALSE)=0,"",VLOOKUP($A233,'Annex 2 EHV charges'!$D:$O,10,FALSE)),"")</f>
        <v/>
      </c>
      <c r="G233" s="95" t="str">
        <f>IFERROR(IF(VLOOKUP($A233,'Annex 2 EHV charges'!$D:$O,11,FALSE)=0,"",VLOOKUP($A233,'Annex 2 EHV charges'!$D:$O,11,FALSE)),"")</f>
        <v/>
      </c>
      <c r="H233" s="95" t="str">
        <f>IFERROR(IF(VLOOKUP($A233,'Annex 2 EHV charges'!$D:$O,12,FALSE)=0,"",VLOOKUP($A233,'Annex 2 EHV charges'!$D:$O,12,FALSE)),"")</f>
        <v/>
      </c>
    </row>
    <row r="234" spans="1:8" x14ac:dyDescent="0.2">
      <c r="A234" s="92" t="str">
        <f t="array" ref="A234">IFERROR(INDEX('Annex 2 EHV charges'!$D$10:$D$259, MATCH(0, IF(ISBLANK('Annex 2 EHV charges'!$D$10:$D$259),1, COUNTIF(A$4:$A233, 'Annex 2 EHV charges'!$D$10:$D$259)), 0)),"")</f>
        <v/>
      </c>
      <c r="B234" s="91" t="str">
        <f>IF($A234="","",VLOOKUP($A234,'Annex 2 EHV charges'!$D:$O,2,0))</f>
        <v/>
      </c>
      <c r="C234" s="92" t="str">
        <f>IF($A234="","",VLOOKUP($A234,'Annex 2 EHV charges'!$D:$O,3,0))</f>
        <v/>
      </c>
      <c r="D234" s="91" t="str">
        <f>IF($A234="","",VLOOKUP($A234,'Annex 2 EHV charges'!$D:$O,4,0))</f>
        <v/>
      </c>
      <c r="E234" s="93" t="str">
        <f>IFERROR(IF(VLOOKUP($A234,'Annex 2 EHV charges'!$D:$O,9,FALSE)=0,"",VLOOKUP($A234,'Annex 2 EHV charges'!$D:$O,9,FALSE)),"")</f>
        <v/>
      </c>
      <c r="F234" s="94" t="str">
        <f>IFERROR(IF(VLOOKUP($A234,'Annex 2 EHV charges'!$D:$O,10,FALSE)=0,"",VLOOKUP($A234,'Annex 2 EHV charges'!$D:$O,10,FALSE)),"")</f>
        <v/>
      </c>
      <c r="G234" s="95" t="str">
        <f>IFERROR(IF(VLOOKUP($A234,'Annex 2 EHV charges'!$D:$O,11,FALSE)=0,"",VLOOKUP($A234,'Annex 2 EHV charges'!$D:$O,11,FALSE)),"")</f>
        <v/>
      </c>
      <c r="H234" s="95" t="str">
        <f>IFERROR(IF(VLOOKUP($A234,'Annex 2 EHV charges'!$D:$O,12,FALSE)=0,"",VLOOKUP($A234,'Annex 2 EHV charges'!$D:$O,12,FALSE)),"")</f>
        <v/>
      </c>
    </row>
    <row r="235" spans="1:8" x14ac:dyDescent="0.2">
      <c r="A235" s="92" t="str">
        <f t="array" ref="A235">IFERROR(INDEX('Annex 2 EHV charges'!$D$10:$D$259, MATCH(0, IF(ISBLANK('Annex 2 EHV charges'!$D$10:$D$259),1, COUNTIF(A$4:$A234, 'Annex 2 EHV charges'!$D$10:$D$259)), 0)),"")</f>
        <v/>
      </c>
      <c r="B235" s="91" t="str">
        <f>IF($A235="","",VLOOKUP($A235,'Annex 2 EHV charges'!$D:$O,2,0))</f>
        <v/>
      </c>
      <c r="C235" s="92" t="str">
        <f>IF($A235="","",VLOOKUP($A235,'Annex 2 EHV charges'!$D:$O,3,0))</f>
        <v/>
      </c>
      <c r="D235" s="91" t="str">
        <f>IF($A235="","",VLOOKUP($A235,'Annex 2 EHV charges'!$D:$O,4,0))</f>
        <v/>
      </c>
      <c r="E235" s="93" t="str">
        <f>IFERROR(IF(VLOOKUP($A235,'Annex 2 EHV charges'!$D:$O,9,FALSE)=0,"",VLOOKUP($A235,'Annex 2 EHV charges'!$D:$O,9,FALSE)),"")</f>
        <v/>
      </c>
      <c r="F235" s="94" t="str">
        <f>IFERROR(IF(VLOOKUP($A235,'Annex 2 EHV charges'!$D:$O,10,FALSE)=0,"",VLOOKUP($A235,'Annex 2 EHV charges'!$D:$O,10,FALSE)),"")</f>
        <v/>
      </c>
      <c r="G235" s="95" t="str">
        <f>IFERROR(IF(VLOOKUP($A235,'Annex 2 EHV charges'!$D:$O,11,FALSE)=0,"",VLOOKUP($A235,'Annex 2 EHV charges'!$D:$O,11,FALSE)),"")</f>
        <v/>
      </c>
      <c r="H235" s="95" t="str">
        <f>IFERROR(IF(VLOOKUP($A235,'Annex 2 EHV charges'!$D:$O,12,FALSE)=0,"",VLOOKUP($A235,'Annex 2 EHV charges'!$D:$O,12,FALSE)),"")</f>
        <v/>
      </c>
    </row>
    <row r="236" spans="1:8" x14ac:dyDescent="0.2">
      <c r="A236" s="92" t="str">
        <f t="array" ref="A236">IFERROR(INDEX('Annex 2 EHV charges'!$D$10:$D$259, MATCH(0, IF(ISBLANK('Annex 2 EHV charges'!$D$10:$D$259),1, COUNTIF(A$4:$A235, 'Annex 2 EHV charges'!$D$10:$D$259)), 0)),"")</f>
        <v/>
      </c>
      <c r="B236" s="91" t="str">
        <f>IF($A236="","",VLOOKUP($A236,'Annex 2 EHV charges'!$D:$O,2,0))</f>
        <v/>
      </c>
      <c r="C236" s="92" t="str">
        <f>IF($A236="","",VLOOKUP($A236,'Annex 2 EHV charges'!$D:$O,3,0))</f>
        <v/>
      </c>
      <c r="D236" s="91" t="str">
        <f>IF($A236="","",VLOOKUP($A236,'Annex 2 EHV charges'!$D:$O,4,0))</f>
        <v/>
      </c>
      <c r="E236" s="93" t="str">
        <f>IFERROR(IF(VLOOKUP($A236,'Annex 2 EHV charges'!$D:$O,9,FALSE)=0,"",VLOOKUP($A236,'Annex 2 EHV charges'!$D:$O,9,FALSE)),"")</f>
        <v/>
      </c>
      <c r="F236" s="94" t="str">
        <f>IFERROR(IF(VLOOKUP($A236,'Annex 2 EHV charges'!$D:$O,10,FALSE)=0,"",VLOOKUP($A236,'Annex 2 EHV charges'!$D:$O,10,FALSE)),"")</f>
        <v/>
      </c>
      <c r="G236" s="95" t="str">
        <f>IFERROR(IF(VLOOKUP($A236,'Annex 2 EHV charges'!$D:$O,11,FALSE)=0,"",VLOOKUP($A236,'Annex 2 EHV charges'!$D:$O,11,FALSE)),"")</f>
        <v/>
      </c>
      <c r="H236" s="95" t="str">
        <f>IFERROR(IF(VLOOKUP($A236,'Annex 2 EHV charges'!$D:$O,12,FALSE)=0,"",VLOOKUP($A236,'Annex 2 EHV charges'!$D:$O,12,FALSE)),"")</f>
        <v/>
      </c>
    </row>
    <row r="237" spans="1:8" x14ac:dyDescent="0.2">
      <c r="A237" s="92" t="str">
        <f t="array" ref="A237">IFERROR(INDEX('Annex 2 EHV charges'!$D$10:$D$259, MATCH(0, IF(ISBLANK('Annex 2 EHV charges'!$D$10:$D$259),1, COUNTIF(A$4:$A236, 'Annex 2 EHV charges'!$D$10:$D$259)), 0)),"")</f>
        <v/>
      </c>
      <c r="B237" s="91" t="str">
        <f>IF($A237="","",VLOOKUP($A237,'Annex 2 EHV charges'!$D:$O,2,0))</f>
        <v/>
      </c>
      <c r="C237" s="92" t="str">
        <f>IF($A237="","",VLOOKUP($A237,'Annex 2 EHV charges'!$D:$O,3,0))</f>
        <v/>
      </c>
      <c r="D237" s="91" t="str">
        <f>IF($A237="","",VLOOKUP($A237,'Annex 2 EHV charges'!$D:$O,4,0))</f>
        <v/>
      </c>
      <c r="E237" s="93" t="str">
        <f>IFERROR(IF(VLOOKUP($A237,'Annex 2 EHV charges'!$D:$O,9,FALSE)=0,"",VLOOKUP($A237,'Annex 2 EHV charges'!$D:$O,9,FALSE)),"")</f>
        <v/>
      </c>
      <c r="F237" s="94" t="str">
        <f>IFERROR(IF(VLOOKUP($A237,'Annex 2 EHV charges'!$D:$O,10,FALSE)=0,"",VLOOKUP($A237,'Annex 2 EHV charges'!$D:$O,10,FALSE)),"")</f>
        <v/>
      </c>
      <c r="G237" s="95" t="str">
        <f>IFERROR(IF(VLOOKUP($A237,'Annex 2 EHV charges'!$D:$O,11,FALSE)=0,"",VLOOKUP($A237,'Annex 2 EHV charges'!$D:$O,11,FALSE)),"")</f>
        <v/>
      </c>
      <c r="H237" s="95" t="str">
        <f>IFERROR(IF(VLOOKUP($A237,'Annex 2 EHV charges'!$D:$O,12,FALSE)=0,"",VLOOKUP($A237,'Annex 2 EHV charges'!$D:$O,12,FALSE)),"")</f>
        <v/>
      </c>
    </row>
    <row r="238" spans="1:8" x14ac:dyDescent="0.2">
      <c r="A238" s="92" t="str">
        <f t="array" ref="A238">IFERROR(INDEX('Annex 2 EHV charges'!$D$10:$D$259, MATCH(0, IF(ISBLANK('Annex 2 EHV charges'!$D$10:$D$259),1, COUNTIF(A$4:$A237, 'Annex 2 EHV charges'!$D$10:$D$259)), 0)),"")</f>
        <v/>
      </c>
      <c r="B238" s="91" t="str">
        <f>IF($A238="","",VLOOKUP($A238,'Annex 2 EHV charges'!$D:$O,2,0))</f>
        <v/>
      </c>
      <c r="C238" s="92" t="str">
        <f>IF($A238="","",VLOOKUP($A238,'Annex 2 EHV charges'!$D:$O,3,0))</f>
        <v/>
      </c>
      <c r="D238" s="91" t="str">
        <f>IF($A238="","",VLOOKUP($A238,'Annex 2 EHV charges'!$D:$O,4,0))</f>
        <v/>
      </c>
      <c r="E238" s="93" t="str">
        <f>IFERROR(IF(VLOOKUP($A238,'Annex 2 EHV charges'!$D:$O,9,FALSE)=0,"",VLOOKUP($A238,'Annex 2 EHV charges'!$D:$O,9,FALSE)),"")</f>
        <v/>
      </c>
      <c r="F238" s="94" t="str">
        <f>IFERROR(IF(VLOOKUP($A238,'Annex 2 EHV charges'!$D:$O,10,FALSE)=0,"",VLOOKUP($A238,'Annex 2 EHV charges'!$D:$O,10,FALSE)),"")</f>
        <v/>
      </c>
      <c r="G238" s="95" t="str">
        <f>IFERROR(IF(VLOOKUP($A238,'Annex 2 EHV charges'!$D:$O,11,FALSE)=0,"",VLOOKUP($A238,'Annex 2 EHV charges'!$D:$O,11,FALSE)),"")</f>
        <v/>
      </c>
      <c r="H238" s="95" t="str">
        <f>IFERROR(IF(VLOOKUP($A238,'Annex 2 EHV charges'!$D:$O,12,FALSE)=0,"",VLOOKUP($A238,'Annex 2 EHV charges'!$D:$O,12,FALSE)),"")</f>
        <v/>
      </c>
    </row>
    <row r="239" spans="1:8" x14ac:dyDescent="0.2">
      <c r="A239" s="92" t="str">
        <f t="array" ref="A239">IFERROR(INDEX('Annex 2 EHV charges'!$D$10:$D$259, MATCH(0, IF(ISBLANK('Annex 2 EHV charges'!$D$10:$D$259),1, COUNTIF(A$4:$A238, 'Annex 2 EHV charges'!$D$10:$D$259)), 0)),"")</f>
        <v/>
      </c>
      <c r="B239" s="91" t="str">
        <f>IF($A239="","",VLOOKUP($A239,'Annex 2 EHV charges'!$D:$O,2,0))</f>
        <v/>
      </c>
      <c r="C239" s="92" t="str">
        <f>IF($A239="","",VLOOKUP($A239,'Annex 2 EHV charges'!$D:$O,3,0))</f>
        <v/>
      </c>
      <c r="D239" s="91" t="str">
        <f>IF($A239="","",VLOOKUP($A239,'Annex 2 EHV charges'!$D:$O,4,0))</f>
        <v/>
      </c>
      <c r="E239" s="93" t="str">
        <f>IFERROR(IF(VLOOKUP($A239,'Annex 2 EHV charges'!$D:$O,9,FALSE)=0,"",VLOOKUP($A239,'Annex 2 EHV charges'!$D:$O,9,FALSE)),"")</f>
        <v/>
      </c>
      <c r="F239" s="94" t="str">
        <f>IFERROR(IF(VLOOKUP($A239,'Annex 2 EHV charges'!$D:$O,10,FALSE)=0,"",VLOOKUP($A239,'Annex 2 EHV charges'!$D:$O,10,FALSE)),"")</f>
        <v/>
      </c>
      <c r="G239" s="95" t="str">
        <f>IFERROR(IF(VLOOKUP($A239,'Annex 2 EHV charges'!$D:$O,11,FALSE)=0,"",VLOOKUP($A239,'Annex 2 EHV charges'!$D:$O,11,FALSE)),"")</f>
        <v/>
      </c>
      <c r="H239" s="95" t="str">
        <f>IFERROR(IF(VLOOKUP($A239,'Annex 2 EHV charges'!$D:$O,12,FALSE)=0,"",VLOOKUP($A239,'Annex 2 EHV charges'!$D:$O,12,FALSE)),"")</f>
        <v/>
      </c>
    </row>
    <row r="240" spans="1:8" x14ac:dyDescent="0.2">
      <c r="A240" s="92" t="str">
        <f t="array" ref="A240">IFERROR(INDEX('Annex 2 EHV charges'!$D$10:$D$259, MATCH(0, IF(ISBLANK('Annex 2 EHV charges'!$D$10:$D$259),1, COUNTIF(A$4:$A239, 'Annex 2 EHV charges'!$D$10:$D$259)), 0)),"")</f>
        <v/>
      </c>
      <c r="B240" s="91" t="str">
        <f>IF($A240="","",VLOOKUP($A240,'Annex 2 EHV charges'!$D:$O,2,0))</f>
        <v/>
      </c>
      <c r="C240" s="92" t="str">
        <f>IF($A240="","",VLOOKUP($A240,'Annex 2 EHV charges'!$D:$O,3,0))</f>
        <v/>
      </c>
      <c r="D240" s="91" t="str">
        <f>IF($A240="","",VLOOKUP($A240,'Annex 2 EHV charges'!$D:$O,4,0))</f>
        <v/>
      </c>
      <c r="E240" s="93" t="str">
        <f>IFERROR(IF(VLOOKUP($A240,'Annex 2 EHV charges'!$D:$O,9,FALSE)=0,"",VLOOKUP($A240,'Annex 2 EHV charges'!$D:$O,9,FALSE)),"")</f>
        <v/>
      </c>
      <c r="F240" s="94" t="str">
        <f>IFERROR(IF(VLOOKUP($A240,'Annex 2 EHV charges'!$D:$O,10,FALSE)=0,"",VLOOKUP($A240,'Annex 2 EHV charges'!$D:$O,10,FALSE)),"")</f>
        <v/>
      </c>
      <c r="G240" s="95" t="str">
        <f>IFERROR(IF(VLOOKUP($A240,'Annex 2 EHV charges'!$D:$O,11,FALSE)=0,"",VLOOKUP($A240,'Annex 2 EHV charges'!$D:$O,11,FALSE)),"")</f>
        <v/>
      </c>
      <c r="H240" s="95" t="str">
        <f>IFERROR(IF(VLOOKUP($A240,'Annex 2 EHV charges'!$D:$O,12,FALSE)=0,"",VLOOKUP($A240,'Annex 2 EHV charges'!$D:$O,12,FALSE)),"")</f>
        <v/>
      </c>
    </row>
    <row r="241" spans="1:8" x14ac:dyDescent="0.2">
      <c r="A241" s="92" t="str">
        <f t="array" ref="A241">IFERROR(INDEX('Annex 2 EHV charges'!$D$10:$D$259, MATCH(0, IF(ISBLANK('Annex 2 EHV charges'!$D$10:$D$259),1, COUNTIF(A$4:$A240, 'Annex 2 EHV charges'!$D$10:$D$259)), 0)),"")</f>
        <v/>
      </c>
      <c r="B241" s="91" t="str">
        <f>IF($A241="","",VLOOKUP($A241,'Annex 2 EHV charges'!$D:$O,2,0))</f>
        <v/>
      </c>
      <c r="C241" s="92" t="str">
        <f>IF($A241="","",VLOOKUP($A241,'Annex 2 EHV charges'!$D:$O,3,0))</f>
        <v/>
      </c>
      <c r="D241" s="91" t="str">
        <f>IF($A241="","",VLOOKUP($A241,'Annex 2 EHV charges'!$D:$O,4,0))</f>
        <v/>
      </c>
      <c r="E241" s="93" t="str">
        <f>IFERROR(IF(VLOOKUP($A241,'Annex 2 EHV charges'!$D:$O,9,FALSE)=0,"",VLOOKUP($A241,'Annex 2 EHV charges'!$D:$O,9,FALSE)),"")</f>
        <v/>
      </c>
      <c r="F241" s="94" t="str">
        <f>IFERROR(IF(VLOOKUP($A241,'Annex 2 EHV charges'!$D:$O,10,FALSE)=0,"",VLOOKUP($A241,'Annex 2 EHV charges'!$D:$O,10,FALSE)),"")</f>
        <v/>
      </c>
      <c r="G241" s="95" t="str">
        <f>IFERROR(IF(VLOOKUP($A241,'Annex 2 EHV charges'!$D:$O,11,FALSE)=0,"",VLOOKUP($A241,'Annex 2 EHV charges'!$D:$O,11,FALSE)),"")</f>
        <v/>
      </c>
      <c r="H241" s="95" t="str">
        <f>IFERROR(IF(VLOOKUP($A241,'Annex 2 EHV charges'!$D:$O,12,FALSE)=0,"",VLOOKUP($A241,'Annex 2 EHV charges'!$D:$O,12,FALSE)),"")</f>
        <v/>
      </c>
    </row>
    <row r="242" spans="1:8" x14ac:dyDescent="0.2">
      <c r="A242" s="92" t="str">
        <f t="array" ref="A242">IFERROR(INDEX('Annex 2 EHV charges'!$D$10:$D$259, MATCH(0, IF(ISBLANK('Annex 2 EHV charges'!$D$10:$D$259),1, COUNTIF(A$4:$A241, 'Annex 2 EHV charges'!$D$10:$D$259)), 0)),"")</f>
        <v/>
      </c>
      <c r="B242" s="91" t="str">
        <f>IF($A242="","",VLOOKUP($A242,'Annex 2 EHV charges'!$D:$O,2,0))</f>
        <v/>
      </c>
      <c r="C242" s="92" t="str">
        <f>IF($A242="","",VLOOKUP($A242,'Annex 2 EHV charges'!$D:$O,3,0))</f>
        <v/>
      </c>
      <c r="D242" s="91" t="str">
        <f>IF($A242="","",VLOOKUP($A242,'Annex 2 EHV charges'!$D:$O,4,0))</f>
        <v/>
      </c>
      <c r="E242" s="93" t="str">
        <f>IFERROR(IF(VLOOKUP($A242,'Annex 2 EHV charges'!$D:$O,9,FALSE)=0,"",VLOOKUP($A242,'Annex 2 EHV charges'!$D:$O,9,FALSE)),"")</f>
        <v/>
      </c>
      <c r="F242" s="94" t="str">
        <f>IFERROR(IF(VLOOKUP($A242,'Annex 2 EHV charges'!$D:$O,10,FALSE)=0,"",VLOOKUP($A242,'Annex 2 EHV charges'!$D:$O,10,FALSE)),"")</f>
        <v/>
      </c>
      <c r="G242" s="95" t="str">
        <f>IFERROR(IF(VLOOKUP($A242,'Annex 2 EHV charges'!$D:$O,11,FALSE)=0,"",VLOOKUP($A242,'Annex 2 EHV charges'!$D:$O,11,FALSE)),"")</f>
        <v/>
      </c>
      <c r="H242" s="95" t="str">
        <f>IFERROR(IF(VLOOKUP($A242,'Annex 2 EHV charges'!$D:$O,12,FALSE)=0,"",VLOOKUP($A242,'Annex 2 EHV charges'!$D:$O,12,FALSE)),"")</f>
        <v/>
      </c>
    </row>
    <row r="243" spans="1:8" x14ac:dyDescent="0.2">
      <c r="A243" s="92" t="str">
        <f t="array" ref="A243">IFERROR(INDEX('Annex 2 EHV charges'!$D$10:$D$259, MATCH(0, IF(ISBLANK('Annex 2 EHV charges'!$D$10:$D$259),1, COUNTIF(A$4:$A242, 'Annex 2 EHV charges'!$D$10:$D$259)), 0)),"")</f>
        <v/>
      </c>
      <c r="B243" s="91" t="str">
        <f>IF($A243="","",VLOOKUP($A243,'Annex 2 EHV charges'!$D:$O,2,0))</f>
        <v/>
      </c>
      <c r="C243" s="92" t="str">
        <f>IF($A243="","",VLOOKUP($A243,'Annex 2 EHV charges'!$D:$O,3,0))</f>
        <v/>
      </c>
      <c r="D243" s="91" t="str">
        <f>IF($A243="","",VLOOKUP($A243,'Annex 2 EHV charges'!$D:$O,4,0))</f>
        <v/>
      </c>
      <c r="E243" s="93" t="str">
        <f>IFERROR(IF(VLOOKUP($A243,'Annex 2 EHV charges'!$D:$O,9,FALSE)=0,"",VLOOKUP($A243,'Annex 2 EHV charges'!$D:$O,9,FALSE)),"")</f>
        <v/>
      </c>
      <c r="F243" s="94" t="str">
        <f>IFERROR(IF(VLOOKUP($A243,'Annex 2 EHV charges'!$D:$O,10,FALSE)=0,"",VLOOKUP($A243,'Annex 2 EHV charges'!$D:$O,10,FALSE)),"")</f>
        <v/>
      </c>
      <c r="G243" s="95" t="str">
        <f>IFERROR(IF(VLOOKUP($A243,'Annex 2 EHV charges'!$D:$O,11,FALSE)=0,"",VLOOKUP($A243,'Annex 2 EHV charges'!$D:$O,11,FALSE)),"")</f>
        <v/>
      </c>
      <c r="H243" s="95" t="str">
        <f>IFERROR(IF(VLOOKUP($A243,'Annex 2 EHV charges'!$D:$O,12,FALSE)=0,"",VLOOKUP($A243,'Annex 2 EHV charges'!$D:$O,12,FALSE)),"")</f>
        <v/>
      </c>
    </row>
    <row r="244" spans="1:8" x14ac:dyDescent="0.2">
      <c r="A244" s="92" t="str">
        <f t="array" ref="A244">IFERROR(INDEX('Annex 2 EHV charges'!$D$10:$D$259, MATCH(0, IF(ISBLANK('Annex 2 EHV charges'!$D$10:$D$259),1, COUNTIF(A$4:$A243, 'Annex 2 EHV charges'!$D$10:$D$259)), 0)),"")</f>
        <v/>
      </c>
      <c r="B244" s="91" t="str">
        <f>IF($A244="","",VLOOKUP($A244,'Annex 2 EHV charges'!$D:$O,2,0))</f>
        <v/>
      </c>
      <c r="C244" s="92" t="str">
        <f>IF($A244="","",VLOOKUP($A244,'Annex 2 EHV charges'!$D:$O,3,0))</f>
        <v/>
      </c>
      <c r="D244" s="91" t="str">
        <f>IF($A244="","",VLOOKUP($A244,'Annex 2 EHV charges'!$D:$O,4,0))</f>
        <v/>
      </c>
      <c r="E244" s="93" t="str">
        <f>IFERROR(IF(VLOOKUP($A244,'Annex 2 EHV charges'!$D:$O,9,FALSE)=0,"",VLOOKUP($A244,'Annex 2 EHV charges'!$D:$O,9,FALSE)),"")</f>
        <v/>
      </c>
      <c r="F244" s="94" t="str">
        <f>IFERROR(IF(VLOOKUP($A244,'Annex 2 EHV charges'!$D:$O,10,FALSE)=0,"",VLOOKUP($A244,'Annex 2 EHV charges'!$D:$O,10,FALSE)),"")</f>
        <v/>
      </c>
      <c r="G244" s="95" t="str">
        <f>IFERROR(IF(VLOOKUP($A244,'Annex 2 EHV charges'!$D:$O,11,FALSE)=0,"",VLOOKUP($A244,'Annex 2 EHV charges'!$D:$O,11,FALSE)),"")</f>
        <v/>
      </c>
      <c r="H244" s="95" t="str">
        <f>IFERROR(IF(VLOOKUP($A244,'Annex 2 EHV charges'!$D:$O,12,FALSE)=0,"",VLOOKUP($A244,'Annex 2 EHV charges'!$D:$O,12,FALSE)),"")</f>
        <v/>
      </c>
    </row>
    <row r="245" spans="1:8" x14ac:dyDescent="0.2">
      <c r="A245" s="92" t="str">
        <f t="array" ref="A245">IFERROR(INDEX('Annex 2 EHV charges'!$D$10:$D$259, MATCH(0, IF(ISBLANK('Annex 2 EHV charges'!$D$10:$D$259),1, COUNTIF(A$4:$A244, 'Annex 2 EHV charges'!$D$10:$D$259)), 0)),"")</f>
        <v/>
      </c>
      <c r="B245" s="91" t="str">
        <f>IF($A245="","",VLOOKUP($A245,'Annex 2 EHV charges'!$D:$O,2,0))</f>
        <v/>
      </c>
      <c r="C245" s="92" t="str">
        <f>IF($A245="","",VLOOKUP($A245,'Annex 2 EHV charges'!$D:$O,3,0))</f>
        <v/>
      </c>
      <c r="D245" s="91" t="str">
        <f>IF($A245="","",VLOOKUP($A245,'Annex 2 EHV charges'!$D:$O,4,0))</f>
        <v/>
      </c>
      <c r="E245" s="93" t="str">
        <f>IFERROR(IF(VLOOKUP($A245,'Annex 2 EHV charges'!$D:$O,9,FALSE)=0,"",VLOOKUP($A245,'Annex 2 EHV charges'!$D:$O,9,FALSE)),"")</f>
        <v/>
      </c>
      <c r="F245" s="94" t="str">
        <f>IFERROR(IF(VLOOKUP($A245,'Annex 2 EHV charges'!$D:$O,10,FALSE)=0,"",VLOOKUP($A245,'Annex 2 EHV charges'!$D:$O,10,FALSE)),"")</f>
        <v/>
      </c>
      <c r="G245" s="95" t="str">
        <f>IFERROR(IF(VLOOKUP($A245,'Annex 2 EHV charges'!$D:$O,11,FALSE)=0,"",VLOOKUP($A245,'Annex 2 EHV charges'!$D:$O,11,FALSE)),"")</f>
        <v/>
      </c>
      <c r="H245" s="95" t="str">
        <f>IFERROR(IF(VLOOKUP($A245,'Annex 2 EHV charges'!$D:$O,12,FALSE)=0,"",VLOOKUP($A245,'Annex 2 EHV charges'!$D:$O,12,FALSE)),"")</f>
        <v/>
      </c>
    </row>
    <row r="246" spans="1:8" x14ac:dyDescent="0.2">
      <c r="A246" s="92" t="str">
        <f t="array" ref="A246">IFERROR(INDEX('Annex 2 EHV charges'!$D$10:$D$259, MATCH(0, IF(ISBLANK('Annex 2 EHV charges'!$D$10:$D$259),1, COUNTIF(A$4:$A245, 'Annex 2 EHV charges'!$D$10:$D$259)), 0)),"")</f>
        <v/>
      </c>
      <c r="B246" s="91" t="str">
        <f>IF($A246="","",VLOOKUP($A246,'Annex 2 EHV charges'!$D:$O,2,0))</f>
        <v/>
      </c>
      <c r="C246" s="92" t="str">
        <f>IF($A246="","",VLOOKUP($A246,'Annex 2 EHV charges'!$D:$O,3,0))</f>
        <v/>
      </c>
      <c r="D246" s="91" t="str">
        <f>IF($A246="","",VLOOKUP($A246,'Annex 2 EHV charges'!$D:$O,4,0))</f>
        <v/>
      </c>
      <c r="E246" s="93" t="str">
        <f>IFERROR(IF(VLOOKUP($A246,'Annex 2 EHV charges'!$D:$O,9,FALSE)=0,"",VLOOKUP($A246,'Annex 2 EHV charges'!$D:$O,9,FALSE)),"")</f>
        <v/>
      </c>
      <c r="F246" s="94" t="str">
        <f>IFERROR(IF(VLOOKUP($A246,'Annex 2 EHV charges'!$D:$O,10,FALSE)=0,"",VLOOKUP($A246,'Annex 2 EHV charges'!$D:$O,10,FALSE)),"")</f>
        <v/>
      </c>
      <c r="G246" s="95" t="str">
        <f>IFERROR(IF(VLOOKUP($A246,'Annex 2 EHV charges'!$D:$O,11,FALSE)=0,"",VLOOKUP($A246,'Annex 2 EHV charges'!$D:$O,11,FALSE)),"")</f>
        <v/>
      </c>
      <c r="H246" s="95" t="str">
        <f>IFERROR(IF(VLOOKUP($A246,'Annex 2 EHV charges'!$D:$O,12,FALSE)=0,"",VLOOKUP($A246,'Annex 2 EHV charges'!$D:$O,12,FALSE)),"")</f>
        <v/>
      </c>
    </row>
    <row r="247" spans="1:8" x14ac:dyDescent="0.2">
      <c r="A247" s="92" t="str">
        <f t="array" ref="A247">IFERROR(INDEX('Annex 2 EHV charges'!$D$10:$D$259, MATCH(0, IF(ISBLANK('Annex 2 EHV charges'!$D$10:$D$259),1, COUNTIF(A$4:$A246, 'Annex 2 EHV charges'!$D$10:$D$259)), 0)),"")</f>
        <v/>
      </c>
      <c r="B247" s="91" t="str">
        <f>IF($A247="","",VLOOKUP($A247,'Annex 2 EHV charges'!$D:$O,2,0))</f>
        <v/>
      </c>
      <c r="C247" s="92" t="str">
        <f>IF($A247="","",VLOOKUP($A247,'Annex 2 EHV charges'!$D:$O,3,0))</f>
        <v/>
      </c>
      <c r="D247" s="91" t="str">
        <f>IF($A247="","",VLOOKUP($A247,'Annex 2 EHV charges'!$D:$O,4,0))</f>
        <v/>
      </c>
      <c r="E247" s="93" t="str">
        <f>IFERROR(IF(VLOOKUP($A247,'Annex 2 EHV charges'!$D:$O,9,FALSE)=0,"",VLOOKUP($A247,'Annex 2 EHV charges'!$D:$O,9,FALSE)),"")</f>
        <v/>
      </c>
      <c r="F247" s="94" t="str">
        <f>IFERROR(IF(VLOOKUP($A247,'Annex 2 EHV charges'!$D:$O,10,FALSE)=0,"",VLOOKUP($A247,'Annex 2 EHV charges'!$D:$O,10,FALSE)),"")</f>
        <v/>
      </c>
      <c r="G247" s="95" t="str">
        <f>IFERROR(IF(VLOOKUP($A247,'Annex 2 EHV charges'!$D:$O,11,FALSE)=0,"",VLOOKUP($A247,'Annex 2 EHV charges'!$D:$O,11,FALSE)),"")</f>
        <v/>
      </c>
      <c r="H247" s="95" t="str">
        <f>IFERROR(IF(VLOOKUP($A247,'Annex 2 EHV charges'!$D:$O,12,FALSE)=0,"",VLOOKUP($A247,'Annex 2 EHV charges'!$D:$O,12,FALSE)),"")</f>
        <v/>
      </c>
    </row>
    <row r="248" spans="1:8" x14ac:dyDescent="0.2">
      <c r="A248" s="92" t="str">
        <f t="array" ref="A248">IFERROR(INDEX('Annex 2 EHV charges'!$D$10:$D$259, MATCH(0, IF(ISBLANK('Annex 2 EHV charges'!$D$10:$D$259),1, COUNTIF(A$4:$A247, 'Annex 2 EHV charges'!$D$10:$D$259)), 0)),"")</f>
        <v/>
      </c>
      <c r="B248" s="91" t="str">
        <f>IF($A248="","",VLOOKUP($A248,'Annex 2 EHV charges'!$D:$O,2,0))</f>
        <v/>
      </c>
      <c r="C248" s="92" t="str">
        <f>IF($A248="","",VLOOKUP($A248,'Annex 2 EHV charges'!$D:$O,3,0))</f>
        <v/>
      </c>
      <c r="D248" s="91" t="str">
        <f>IF($A248="","",VLOOKUP($A248,'Annex 2 EHV charges'!$D:$O,4,0))</f>
        <v/>
      </c>
      <c r="E248" s="93" t="str">
        <f>IFERROR(IF(VLOOKUP($A248,'Annex 2 EHV charges'!$D:$O,9,FALSE)=0,"",VLOOKUP($A248,'Annex 2 EHV charges'!$D:$O,9,FALSE)),"")</f>
        <v/>
      </c>
      <c r="F248" s="94" t="str">
        <f>IFERROR(IF(VLOOKUP($A248,'Annex 2 EHV charges'!$D:$O,10,FALSE)=0,"",VLOOKUP($A248,'Annex 2 EHV charges'!$D:$O,10,FALSE)),"")</f>
        <v/>
      </c>
      <c r="G248" s="95" t="str">
        <f>IFERROR(IF(VLOOKUP($A248,'Annex 2 EHV charges'!$D:$O,11,FALSE)=0,"",VLOOKUP($A248,'Annex 2 EHV charges'!$D:$O,11,FALSE)),"")</f>
        <v/>
      </c>
      <c r="H248" s="95" t="str">
        <f>IFERROR(IF(VLOOKUP($A248,'Annex 2 EHV charges'!$D:$O,12,FALSE)=0,"",VLOOKUP($A248,'Annex 2 EHV charges'!$D:$O,12,FALSE)),"")</f>
        <v/>
      </c>
    </row>
    <row r="249" spans="1:8" x14ac:dyDescent="0.2">
      <c r="A249" s="92" t="str">
        <f t="array" ref="A249">IFERROR(INDEX('Annex 2 EHV charges'!$D$10:$D$259, MATCH(0, IF(ISBLANK('Annex 2 EHV charges'!$D$10:$D$259),1, COUNTIF(A$4:$A248, 'Annex 2 EHV charges'!$D$10:$D$259)), 0)),"")</f>
        <v/>
      </c>
      <c r="B249" s="91" t="str">
        <f>IF($A249="","",VLOOKUP($A249,'Annex 2 EHV charges'!$D:$O,2,0))</f>
        <v/>
      </c>
      <c r="C249" s="92" t="str">
        <f>IF($A249="","",VLOOKUP($A249,'Annex 2 EHV charges'!$D:$O,3,0))</f>
        <v/>
      </c>
      <c r="D249" s="91" t="str">
        <f>IF($A249="","",VLOOKUP($A249,'Annex 2 EHV charges'!$D:$O,4,0))</f>
        <v/>
      </c>
      <c r="E249" s="93" t="str">
        <f>IFERROR(IF(VLOOKUP($A249,'Annex 2 EHV charges'!$D:$O,9,FALSE)=0,"",VLOOKUP($A249,'Annex 2 EHV charges'!$D:$O,9,FALSE)),"")</f>
        <v/>
      </c>
      <c r="F249" s="94" t="str">
        <f>IFERROR(IF(VLOOKUP($A249,'Annex 2 EHV charges'!$D:$O,10,FALSE)=0,"",VLOOKUP($A249,'Annex 2 EHV charges'!$D:$O,10,FALSE)),"")</f>
        <v/>
      </c>
      <c r="G249" s="95" t="str">
        <f>IFERROR(IF(VLOOKUP($A249,'Annex 2 EHV charges'!$D:$O,11,FALSE)=0,"",VLOOKUP($A249,'Annex 2 EHV charges'!$D:$O,11,FALSE)),"")</f>
        <v/>
      </c>
      <c r="H249" s="95" t="str">
        <f>IFERROR(IF(VLOOKUP($A249,'Annex 2 EHV charges'!$D:$O,12,FALSE)=0,"",VLOOKUP($A249,'Annex 2 EHV charges'!$D:$O,12,FALSE)),"")</f>
        <v/>
      </c>
    </row>
    <row r="250" spans="1:8" x14ac:dyDescent="0.2">
      <c r="A250" s="92" t="str">
        <f t="array" ref="A250">IFERROR(INDEX('Annex 2 EHV charges'!$D$10:$D$259, MATCH(0, IF(ISBLANK('Annex 2 EHV charges'!$D$10:$D$259),1, COUNTIF(A$4:$A249, 'Annex 2 EHV charges'!$D$10:$D$259)), 0)),"")</f>
        <v/>
      </c>
      <c r="B250" s="91" t="str">
        <f>IF($A250="","",VLOOKUP($A250,'Annex 2 EHV charges'!$D:$O,2,0))</f>
        <v/>
      </c>
      <c r="C250" s="92" t="str">
        <f>IF($A250="","",VLOOKUP($A250,'Annex 2 EHV charges'!$D:$O,3,0))</f>
        <v/>
      </c>
      <c r="D250" s="91" t="str">
        <f>IF($A250="","",VLOOKUP($A250,'Annex 2 EHV charges'!$D:$O,4,0))</f>
        <v/>
      </c>
      <c r="E250" s="93" t="str">
        <f>IFERROR(IF(VLOOKUP($A250,'Annex 2 EHV charges'!$D:$O,9,FALSE)=0,"",VLOOKUP($A250,'Annex 2 EHV charges'!$D:$O,9,FALSE)),"")</f>
        <v/>
      </c>
      <c r="F250" s="94" t="str">
        <f>IFERROR(IF(VLOOKUP($A250,'Annex 2 EHV charges'!$D:$O,10,FALSE)=0,"",VLOOKUP($A250,'Annex 2 EHV charges'!$D:$O,10,FALSE)),"")</f>
        <v/>
      </c>
      <c r="G250" s="95" t="str">
        <f>IFERROR(IF(VLOOKUP($A250,'Annex 2 EHV charges'!$D:$O,11,FALSE)=0,"",VLOOKUP($A250,'Annex 2 EHV charges'!$D:$O,11,FALSE)),"")</f>
        <v/>
      </c>
      <c r="H250" s="95" t="str">
        <f>IFERROR(IF(VLOOKUP($A250,'Annex 2 EHV charges'!$D:$O,12,FALSE)=0,"",VLOOKUP($A250,'Annex 2 EHV charges'!$D:$O,12,FALSE)),"")</f>
        <v/>
      </c>
    </row>
    <row r="251" spans="1:8" x14ac:dyDescent="0.2">
      <c r="A251" s="92" t="str">
        <f t="array" ref="A251">IFERROR(INDEX('Annex 2 EHV charges'!$D$10:$D$259, MATCH(0, IF(ISBLANK('Annex 2 EHV charges'!$D$10:$D$259),1, COUNTIF(A$4:$A250, 'Annex 2 EHV charges'!$D$10:$D$259)), 0)),"")</f>
        <v/>
      </c>
      <c r="B251" s="91" t="str">
        <f>IF($A251="","",VLOOKUP($A251,'Annex 2 EHV charges'!$D:$O,2,0))</f>
        <v/>
      </c>
      <c r="C251" s="92" t="str">
        <f>IF($A251="","",VLOOKUP($A251,'Annex 2 EHV charges'!$D:$O,3,0))</f>
        <v/>
      </c>
      <c r="D251" s="91" t="str">
        <f>IF($A251="","",VLOOKUP($A251,'Annex 2 EHV charges'!$D:$O,4,0))</f>
        <v/>
      </c>
      <c r="E251" s="93" t="str">
        <f>IFERROR(IF(VLOOKUP($A251,'Annex 2 EHV charges'!$D:$O,9,FALSE)=0,"",VLOOKUP($A251,'Annex 2 EHV charges'!$D:$O,9,FALSE)),"")</f>
        <v/>
      </c>
      <c r="F251" s="94" t="str">
        <f>IFERROR(IF(VLOOKUP($A251,'Annex 2 EHV charges'!$D:$O,10,FALSE)=0,"",VLOOKUP($A251,'Annex 2 EHV charges'!$D:$O,10,FALSE)),"")</f>
        <v/>
      </c>
      <c r="G251" s="95" t="str">
        <f>IFERROR(IF(VLOOKUP($A251,'Annex 2 EHV charges'!$D:$O,11,FALSE)=0,"",VLOOKUP($A251,'Annex 2 EHV charges'!$D:$O,11,FALSE)),"")</f>
        <v/>
      </c>
      <c r="H251" s="95" t="str">
        <f>IFERROR(IF(VLOOKUP($A251,'Annex 2 EHV charges'!$D:$O,12,FALSE)=0,"",VLOOKUP($A251,'Annex 2 EHV charges'!$D:$O,12,FALSE)),"")</f>
        <v/>
      </c>
    </row>
    <row r="252" spans="1:8" x14ac:dyDescent="0.2">
      <c r="A252" s="92" t="str">
        <f t="array" ref="A252">IFERROR(INDEX('Annex 2 EHV charges'!$D$10:$D$259, MATCH(0, IF(ISBLANK('Annex 2 EHV charges'!$D$10:$D$259),1, COUNTIF(A$4:$A251, 'Annex 2 EHV charges'!$D$10:$D$259)), 0)),"")</f>
        <v/>
      </c>
      <c r="B252" s="91" t="str">
        <f>IF($A252="","",VLOOKUP($A252,'Annex 2 EHV charges'!$D:$O,2,0))</f>
        <v/>
      </c>
      <c r="C252" s="92" t="str">
        <f>IF($A252="","",VLOOKUP($A252,'Annex 2 EHV charges'!$D:$O,3,0))</f>
        <v/>
      </c>
      <c r="D252" s="91" t="str">
        <f>IF($A252="","",VLOOKUP($A252,'Annex 2 EHV charges'!$D:$O,4,0))</f>
        <v/>
      </c>
      <c r="E252" s="93" t="str">
        <f>IFERROR(IF(VLOOKUP($A252,'Annex 2 EHV charges'!$D:$O,9,FALSE)=0,"",VLOOKUP($A252,'Annex 2 EHV charges'!$D:$O,9,FALSE)),"")</f>
        <v/>
      </c>
      <c r="F252" s="94" t="str">
        <f>IFERROR(IF(VLOOKUP($A252,'Annex 2 EHV charges'!$D:$O,10,FALSE)=0,"",VLOOKUP($A252,'Annex 2 EHV charges'!$D:$O,10,FALSE)),"")</f>
        <v/>
      </c>
      <c r="G252" s="95" t="str">
        <f>IFERROR(IF(VLOOKUP($A252,'Annex 2 EHV charges'!$D:$O,11,FALSE)=0,"",VLOOKUP($A252,'Annex 2 EHV charges'!$D:$O,11,FALSE)),"")</f>
        <v/>
      </c>
      <c r="H252" s="95" t="str">
        <f>IFERROR(IF(VLOOKUP($A252,'Annex 2 EHV charges'!$D:$O,12,FALSE)=0,"",VLOOKUP($A252,'Annex 2 EHV charges'!$D:$O,12,FALSE)),"")</f>
        <v/>
      </c>
    </row>
    <row r="253" spans="1:8" x14ac:dyDescent="0.2">
      <c r="A253" s="92" t="str">
        <f t="array" ref="A253">IFERROR(INDEX('Annex 2 EHV charges'!$D$10:$D$259, MATCH(0, IF(ISBLANK('Annex 2 EHV charges'!$D$10:$D$259),1, COUNTIF(A$4:$A252, 'Annex 2 EHV charges'!$D$10:$D$259)), 0)),"")</f>
        <v/>
      </c>
      <c r="B253" s="91" t="str">
        <f>IF($A253="","",VLOOKUP($A253,'Annex 2 EHV charges'!$D:$O,2,0))</f>
        <v/>
      </c>
      <c r="C253" s="92" t="str">
        <f>IF($A253="","",VLOOKUP($A253,'Annex 2 EHV charges'!$D:$O,3,0))</f>
        <v/>
      </c>
      <c r="D253" s="91" t="str">
        <f>IF($A253="","",VLOOKUP($A253,'Annex 2 EHV charges'!$D:$O,4,0))</f>
        <v/>
      </c>
      <c r="E253" s="93" t="str">
        <f>IFERROR(IF(VLOOKUP($A253,'Annex 2 EHV charges'!$D:$O,9,FALSE)=0,"",VLOOKUP($A253,'Annex 2 EHV charges'!$D:$O,9,FALSE)),"")</f>
        <v/>
      </c>
      <c r="F253" s="94" t="str">
        <f>IFERROR(IF(VLOOKUP($A253,'Annex 2 EHV charges'!$D:$O,10,FALSE)=0,"",VLOOKUP($A253,'Annex 2 EHV charges'!$D:$O,10,FALSE)),"")</f>
        <v/>
      </c>
      <c r="G253" s="95" t="str">
        <f>IFERROR(IF(VLOOKUP($A253,'Annex 2 EHV charges'!$D:$O,11,FALSE)=0,"",VLOOKUP($A253,'Annex 2 EHV charges'!$D:$O,11,FALSE)),"")</f>
        <v/>
      </c>
      <c r="H253" s="95" t="str">
        <f>IFERROR(IF(VLOOKUP($A253,'Annex 2 EHV charges'!$D:$O,12,FALSE)=0,"",VLOOKUP($A253,'Annex 2 EHV charges'!$D:$O,12,FALSE)),"")</f>
        <v/>
      </c>
    </row>
    <row r="254" spans="1:8" x14ac:dyDescent="0.2">
      <c r="A254" s="92" t="str">
        <f t="array" ref="A254">IFERROR(INDEX('Annex 2 EHV charges'!$D$10:$D$259, MATCH(0, IF(ISBLANK('Annex 2 EHV charges'!$D$10:$D$259),1, COUNTIF(A$4:$A253, 'Annex 2 EHV charges'!$D$10:$D$259)), 0)),"")</f>
        <v/>
      </c>
      <c r="B254" s="91" t="str">
        <f>IF($A254="","",VLOOKUP($A254,'Annex 2 EHV charges'!$D:$O,2,0))</f>
        <v/>
      </c>
      <c r="C254" s="92" t="str">
        <f>IF($A254="","",VLOOKUP($A254,'Annex 2 EHV charges'!$D:$O,3,0))</f>
        <v/>
      </c>
      <c r="D254" s="91" t="str">
        <f>IF($A254="","",VLOOKUP($A254,'Annex 2 EHV charges'!$D:$O,4,0))</f>
        <v/>
      </c>
      <c r="E254" s="93" t="str">
        <f>IFERROR(IF(VLOOKUP($A254,'Annex 2 EHV charges'!$D:$O,9,FALSE)=0,"",VLOOKUP($A254,'Annex 2 EHV charges'!$D:$O,9,FALSE)),"")</f>
        <v/>
      </c>
      <c r="F254" s="94" t="str">
        <f>IFERROR(IF(VLOOKUP($A254,'Annex 2 EHV charges'!$D:$O,10,FALSE)=0,"",VLOOKUP($A254,'Annex 2 EHV charges'!$D:$O,10,FALSE)),"")</f>
        <v/>
      </c>
      <c r="G254" s="95" t="str">
        <f>IFERROR(IF(VLOOKUP($A254,'Annex 2 EHV charges'!$D:$O,11,FALSE)=0,"",VLOOKUP($A254,'Annex 2 EHV charges'!$D:$O,11,FALSE)),"")</f>
        <v/>
      </c>
      <c r="H254" s="95"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18</v>
      </c>
      <c r="B1" s="3"/>
      <c r="D1" s="3"/>
      <c r="E1" s="3"/>
      <c r="F1" s="3"/>
      <c r="G1" s="8"/>
      <c r="H1" s="4"/>
      <c r="I1" s="4"/>
    </row>
    <row r="2" spans="1:12" s="2" customFormat="1" ht="27" customHeight="1" x14ac:dyDescent="0.2">
      <c r="A2" s="245" t="str">
        <f>Overview!B4&amp; " - Effective from "&amp;Overview!D4&amp;" - "&amp;Overview!E4&amp;" LV and HV tariffs"</f>
        <v>South Eastern Power Networks - Effective from 1 April 2021 - Final LV and HV tariffs</v>
      </c>
      <c r="B2" s="245"/>
      <c r="C2" s="245"/>
      <c r="D2" s="245"/>
      <c r="E2" s="245"/>
      <c r="F2" s="245"/>
      <c r="G2" s="245"/>
      <c r="H2" s="245"/>
      <c r="I2" s="245"/>
      <c r="J2" s="245"/>
      <c r="K2" s="4"/>
      <c r="L2" s="4"/>
    </row>
    <row r="3" spans="1:12" s="2" customFormat="1" ht="27" customHeight="1" x14ac:dyDescent="0.2">
      <c r="A3" s="279" t="s">
        <v>162</v>
      </c>
      <c r="B3" s="279"/>
      <c r="C3" s="279"/>
      <c r="D3" s="279"/>
      <c r="E3" s="279"/>
      <c r="F3" s="279"/>
      <c r="G3" s="279"/>
      <c r="H3" s="279"/>
      <c r="I3" s="279"/>
      <c r="J3" s="279"/>
      <c r="K3" s="4"/>
      <c r="L3" s="4"/>
    </row>
    <row r="4" spans="1:12" s="2" customFormat="1" ht="71.25" customHeight="1" x14ac:dyDescent="0.2">
      <c r="A4" s="15"/>
      <c r="B4" s="26" t="s">
        <v>0</v>
      </c>
      <c r="C4" s="14" t="s">
        <v>23</v>
      </c>
      <c r="D4" s="44" t="s">
        <v>163</v>
      </c>
      <c r="E4" s="44" t="s">
        <v>165</v>
      </c>
      <c r="F4" s="44" t="s">
        <v>164</v>
      </c>
      <c r="G4" s="145" t="s">
        <v>24</v>
      </c>
      <c r="H4" s="14"/>
      <c r="I4" s="14"/>
      <c r="J4" s="14"/>
      <c r="K4" s="4"/>
      <c r="L4" s="4"/>
    </row>
    <row r="5" spans="1:12" s="2" customFormat="1" ht="32.25" customHeight="1" x14ac:dyDescent="0.2">
      <c r="A5" s="16"/>
      <c r="B5" s="25"/>
      <c r="C5" s="17"/>
      <c r="D5" s="18"/>
      <c r="E5" s="18"/>
      <c r="F5" s="18"/>
      <c r="G5" s="19"/>
      <c r="H5" s="24"/>
      <c r="I5" s="24"/>
      <c r="J5" s="24"/>
      <c r="K5" s="4"/>
      <c r="L5" s="4"/>
    </row>
    <row r="6" spans="1:12" ht="12.75" customHeight="1" x14ac:dyDescent="0.2">
      <c r="A6" s="273" t="s">
        <v>2</v>
      </c>
      <c r="B6" s="264" t="s">
        <v>542</v>
      </c>
      <c r="C6" s="265"/>
      <c r="D6" s="265"/>
      <c r="E6" s="265"/>
      <c r="F6" s="265"/>
      <c r="G6" s="265"/>
      <c r="H6" s="265"/>
      <c r="I6" s="265"/>
      <c r="J6" s="266"/>
    </row>
    <row r="7" spans="1:12" x14ac:dyDescent="0.2">
      <c r="A7" s="274"/>
      <c r="B7" s="267"/>
      <c r="C7" s="268"/>
      <c r="D7" s="268"/>
      <c r="E7" s="268"/>
      <c r="F7" s="268"/>
      <c r="G7" s="268"/>
      <c r="H7" s="268"/>
      <c r="I7" s="268"/>
      <c r="J7" s="269"/>
    </row>
    <row r="8" spans="1:12" x14ac:dyDescent="0.2">
      <c r="A8" s="275"/>
      <c r="B8" s="270"/>
      <c r="C8" s="271"/>
      <c r="D8" s="271"/>
      <c r="E8" s="271"/>
      <c r="F8" s="271"/>
      <c r="G8" s="271"/>
      <c r="H8" s="271"/>
      <c r="I8" s="271"/>
      <c r="J8" s="272"/>
    </row>
    <row r="9" spans="1:12" x14ac:dyDescent="0.2">
      <c r="A9" s="39"/>
      <c r="B9" s="39"/>
      <c r="C9" s="39"/>
      <c r="D9" s="39"/>
      <c r="E9" s="39"/>
      <c r="F9" s="39"/>
      <c r="G9" s="39"/>
      <c r="H9" s="39"/>
      <c r="I9" s="39"/>
      <c r="J9" s="39"/>
    </row>
    <row r="10" spans="1:12" x14ac:dyDescent="0.2">
      <c r="A10" s="39"/>
      <c r="B10" s="39"/>
      <c r="C10" s="39"/>
      <c r="D10" s="39"/>
      <c r="E10" s="39"/>
      <c r="F10" s="39"/>
      <c r="G10" s="39"/>
      <c r="H10" s="39"/>
      <c r="I10" s="39"/>
      <c r="J10" s="39"/>
    </row>
    <row r="11" spans="1:12" s="2" customFormat="1" ht="27" customHeight="1" x14ac:dyDescent="0.2">
      <c r="A11" s="279" t="s">
        <v>159</v>
      </c>
      <c r="B11" s="279"/>
      <c r="C11" s="279"/>
      <c r="D11" s="279"/>
      <c r="E11" s="279"/>
      <c r="F11" s="279"/>
      <c r="G11" s="279"/>
      <c r="H11" s="279"/>
      <c r="I11" s="279"/>
      <c r="J11" s="279"/>
      <c r="K11" s="4"/>
      <c r="L11" s="4"/>
    </row>
    <row r="12" spans="1:12" s="2" customFormat="1" ht="58.5" customHeight="1" x14ac:dyDescent="0.2">
      <c r="A12" s="15"/>
      <c r="B12" s="26" t="s">
        <v>0</v>
      </c>
      <c r="C12" s="14" t="s">
        <v>23</v>
      </c>
      <c r="D12" s="44" t="s">
        <v>163</v>
      </c>
      <c r="E12" s="44" t="s">
        <v>165</v>
      </c>
      <c r="F12" s="44" t="s">
        <v>164</v>
      </c>
      <c r="G12" s="128" t="s">
        <v>24</v>
      </c>
      <c r="H12" s="128" t="s">
        <v>25</v>
      </c>
      <c r="I12" s="26" t="s">
        <v>130</v>
      </c>
      <c r="J12" s="128" t="s">
        <v>32</v>
      </c>
      <c r="K12" s="4"/>
      <c r="L12" s="4"/>
    </row>
    <row r="13" spans="1:12" s="2" customFormat="1" ht="32.25" customHeight="1" x14ac:dyDescent="0.2">
      <c r="A13" s="16"/>
      <c r="B13" s="25"/>
      <c r="C13" s="17">
        <v>0</v>
      </c>
      <c r="D13" s="18"/>
      <c r="E13" s="18"/>
      <c r="F13" s="18"/>
      <c r="G13" s="19"/>
      <c r="H13" s="19"/>
      <c r="I13" s="19"/>
      <c r="J13" s="18"/>
      <c r="K13" s="4"/>
      <c r="L13" s="4"/>
    </row>
    <row r="14" spans="1:12" ht="12.75" customHeight="1" x14ac:dyDescent="0.2">
      <c r="A14" s="273" t="s">
        <v>2</v>
      </c>
      <c r="B14" s="264" t="s">
        <v>543</v>
      </c>
      <c r="C14" s="265"/>
      <c r="D14" s="265"/>
      <c r="E14" s="265"/>
      <c r="F14" s="265"/>
      <c r="G14" s="265"/>
      <c r="H14" s="265"/>
      <c r="I14" s="265"/>
      <c r="J14" s="276"/>
    </row>
    <row r="15" spans="1:12" ht="12.75" customHeight="1" x14ac:dyDescent="0.2">
      <c r="A15" s="274"/>
      <c r="B15" s="267"/>
      <c r="C15" s="268"/>
      <c r="D15" s="268"/>
      <c r="E15" s="268"/>
      <c r="F15" s="268"/>
      <c r="G15" s="268"/>
      <c r="H15" s="268"/>
      <c r="I15" s="268"/>
      <c r="J15" s="277"/>
    </row>
    <row r="16" spans="1:12" ht="12.75" customHeight="1" x14ac:dyDescent="0.2">
      <c r="A16" s="275"/>
      <c r="B16" s="270"/>
      <c r="C16" s="271"/>
      <c r="D16" s="271"/>
      <c r="E16" s="271"/>
      <c r="F16" s="271"/>
      <c r="G16" s="271"/>
      <c r="H16" s="271"/>
      <c r="I16" s="271"/>
      <c r="J16" s="278"/>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10"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3" fitToHeight="0" orientation="portrait" r:id="rId2"/>
  <headerFooter scaleWithDoc="0">
    <oddHeader>&amp;L
Annex 3 - Schedule of Charges for use of the Distribution System to Preserved/Additional LLFC Classes</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116"/>
  <sheetViews>
    <sheetView zoomScale="80" zoomScaleNormal="80" zoomScaleSheetLayoutView="85" workbookViewId="0">
      <selection activeCell="B25" sqref="B25"/>
    </sheetView>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7"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18</v>
      </c>
      <c r="B1" s="280" t="s">
        <v>126</v>
      </c>
      <c r="C1" s="281"/>
      <c r="D1" s="281"/>
      <c r="F1" s="282" t="s">
        <v>129</v>
      </c>
      <c r="G1" s="283"/>
      <c r="H1" s="284"/>
      <c r="I1" s="4"/>
      <c r="J1" s="2"/>
      <c r="K1" s="2"/>
    </row>
    <row r="2" spans="1:13" ht="31.5" customHeight="1" x14ac:dyDescent="0.2">
      <c r="A2" s="285" t="str">
        <f>Overview!B4&amp; " - Effective from "&amp;Overview!D4&amp;" - "&amp;Overview!E4&amp;" LDNO tariffs"</f>
        <v>South Eastern Power Networks - Effective from 1 April 2021 - Final LDNO tariffs</v>
      </c>
      <c r="B2" s="285"/>
      <c r="C2" s="285"/>
      <c r="D2" s="285"/>
      <c r="E2" s="285"/>
      <c r="F2" s="285"/>
      <c r="G2" s="285"/>
      <c r="H2" s="285"/>
      <c r="I2" s="285"/>
      <c r="J2" s="285"/>
    </row>
    <row r="3" spans="1:13" ht="8.25" customHeight="1" x14ac:dyDescent="0.2">
      <c r="A3" s="80"/>
      <c r="B3" s="80"/>
      <c r="C3" s="80"/>
      <c r="D3" s="80"/>
      <c r="E3" s="80"/>
      <c r="F3" s="80"/>
      <c r="G3" s="80"/>
      <c r="H3" s="80"/>
      <c r="I3" s="80"/>
      <c r="J3" s="80"/>
    </row>
    <row r="4" spans="1:13" ht="27" customHeight="1" x14ac:dyDescent="0.2">
      <c r="A4" s="245" t="s">
        <v>160</v>
      </c>
      <c r="B4" s="245"/>
      <c r="C4" s="245"/>
      <c r="D4" s="245"/>
      <c r="E4" s="82"/>
      <c r="F4" s="245" t="s">
        <v>161</v>
      </c>
      <c r="G4" s="245"/>
      <c r="H4" s="245"/>
      <c r="I4" s="245"/>
      <c r="J4" s="245"/>
      <c r="L4" s="4"/>
    </row>
    <row r="5" spans="1:13" ht="32.25" customHeight="1" x14ac:dyDescent="0.2">
      <c r="A5" s="67" t="s">
        <v>12</v>
      </c>
      <c r="B5" s="72" t="s">
        <v>57</v>
      </c>
      <c r="C5" s="87" t="s">
        <v>58</v>
      </c>
      <c r="D5" s="69" t="s">
        <v>59</v>
      </c>
      <c r="E5" s="76"/>
      <c r="F5" s="249"/>
      <c r="G5" s="250"/>
      <c r="H5" s="73" t="s">
        <v>63</v>
      </c>
      <c r="I5" s="74" t="s">
        <v>64</v>
      </c>
      <c r="J5" s="69" t="s">
        <v>59</v>
      </c>
      <c r="K5" s="76"/>
      <c r="L5" s="4"/>
      <c r="M5" s="4"/>
    </row>
    <row r="6" spans="1:13" ht="56.25" customHeight="1" x14ac:dyDescent="0.2">
      <c r="A6" s="70" t="s">
        <v>60</v>
      </c>
      <c r="B6" s="186" t="s">
        <v>535</v>
      </c>
      <c r="C6" s="186" t="s">
        <v>536</v>
      </c>
      <c r="D6" s="191" t="s">
        <v>537</v>
      </c>
      <c r="E6" s="76"/>
      <c r="F6" s="237" t="s">
        <v>61</v>
      </c>
      <c r="G6" s="238"/>
      <c r="H6" s="186" t="s">
        <v>535</v>
      </c>
      <c r="I6" s="75" t="s">
        <v>536</v>
      </c>
      <c r="J6" s="191" t="s">
        <v>537</v>
      </c>
      <c r="K6" s="76"/>
      <c r="L6" s="4"/>
      <c r="M6" s="4"/>
    </row>
    <row r="7" spans="1:13" ht="56.25" customHeight="1" x14ac:dyDescent="0.2">
      <c r="A7" s="70" t="s">
        <v>14</v>
      </c>
      <c r="B7" s="187"/>
      <c r="C7" s="192"/>
      <c r="D7" s="75" t="s">
        <v>538</v>
      </c>
      <c r="E7" s="76"/>
      <c r="F7" s="237" t="s">
        <v>540</v>
      </c>
      <c r="G7" s="238"/>
      <c r="H7" s="187"/>
      <c r="I7" s="75" t="s">
        <v>541</v>
      </c>
      <c r="J7" s="191" t="s">
        <v>537</v>
      </c>
      <c r="K7" s="76"/>
      <c r="L7" s="4"/>
      <c r="M7" s="4"/>
    </row>
    <row r="8" spans="1:13" ht="55.5" customHeight="1" x14ac:dyDescent="0.2">
      <c r="A8" s="71" t="s">
        <v>13</v>
      </c>
      <c r="B8" s="237" t="s">
        <v>539</v>
      </c>
      <c r="C8" s="253"/>
      <c r="D8" s="238"/>
      <c r="E8" s="76"/>
      <c r="F8" s="237" t="s">
        <v>14</v>
      </c>
      <c r="G8" s="238"/>
      <c r="H8" s="187"/>
      <c r="I8" s="187"/>
      <c r="J8" s="75" t="s">
        <v>538</v>
      </c>
      <c r="K8" s="76"/>
      <c r="L8" s="4"/>
      <c r="M8" s="4"/>
    </row>
    <row r="9" spans="1:13" s="68" customFormat="1" ht="55.5" customHeight="1" x14ac:dyDescent="0.2">
      <c r="A9" s="78"/>
      <c r="E9" s="81"/>
      <c r="F9" s="254" t="s">
        <v>13</v>
      </c>
      <c r="G9" s="254"/>
      <c r="H9" s="237" t="s">
        <v>539</v>
      </c>
      <c r="I9" s="253"/>
      <c r="J9" s="238"/>
      <c r="K9" s="76"/>
      <c r="L9" s="39"/>
      <c r="M9" s="39"/>
    </row>
    <row r="11" spans="1:13" ht="38.25" x14ac:dyDescent="0.2">
      <c r="A11" s="179" t="s">
        <v>128</v>
      </c>
      <c r="B11" s="179" t="s">
        <v>509</v>
      </c>
      <c r="C11" s="180" t="s">
        <v>23</v>
      </c>
      <c r="D11" s="44" t="s">
        <v>163</v>
      </c>
      <c r="E11" s="44" t="s">
        <v>165</v>
      </c>
      <c r="F11" s="44" t="s">
        <v>164</v>
      </c>
      <c r="G11" s="180" t="s">
        <v>24</v>
      </c>
      <c r="H11" s="180" t="s">
        <v>25</v>
      </c>
      <c r="I11" s="180" t="s">
        <v>130</v>
      </c>
      <c r="J11" s="180" t="s">
        <v>32</v>
      </c>
    </row>
    <row r="12" spans="1:13" ht="27.75" customHeight="1" x14ac:dyDescent="0.2">
      <c r="A12" s="175" t="s">
        <v>423</v>
      </c>
      <c r="B12" s="30" t="s">
        <v>1669</v>
      </c>
      <c r="C12" s="188" t="s">
        <v>527</v>
      </c>
      <c r="D12" s="139">
        <v>11.484</v>
      </c>
      <c r="E12" s="140">
        <v>0.82199999999999995</v>
      </c>
      <c r="F12" s="141">
        <v>0.45300000000000001</v>
      </c>
      <c r="G12" s="176">
        <v>2.78</v>
      </c>
      <c r="H12" s="177"/>
      <c r="I12" s="181"/>
      <c r="J12" s="32"/>
    </row>
    <row r="13" spans="1:13" ht="27.75" customHeight="1" x14ac:dyDescent="0.2">
      <c r="A13" s="175" t="s">
        <v>424</v>
      </c>
      <c r="B13" s="30" t="s">
        <v>1670</v>
      </c>
      <c r="C13" s="188" t="s">
        <v>420</v>
      </c>
      <c r="D13" s="139">
        <v>11.484</v>
      </c>
      <c r="E13" s="140">
        <v>0.82199999999999995</v>
      </c>
      <c r="F13" s="141">
        <v>0.45300000000000001</v>
      </c>
      <c r="G13" s="177"/>
      <c r="H13" s="177"/>
      <c r="I13" s="181"/>
      <c r="J13" s="32"/>
    </row>
    <row r="14" spans="1:13" ht="27.75" customHeight="1" x14ac:dyDescent="0.2">
      <c r="A14" s="175" t="s">
        <v>425</v>
      </c>
      <c r="B14" s="30" t="s">
        <v>1671</v>
      </c>
      <c r="C14" s="188" t="s">
        <v>528</v>
      </c>
      <c r="D14" s="139">
        <v>8.9909999999999997</v>
      </c>
      <c r="E14" s="140">
        <v>0.72299999999999998</v>
      </c>
      <c r="F14" s="141">
        <v>0.437</v>
      </c>
      <c r="G14" s="176">
        <v>2.88</v>
      </c>
      <c r="H14" s="177"/>
      <c r="I14" s="181"/>
      <c r="J14" s="32"/>
    </row>
    <row r="15" spans="1:13" ht="27.75" customHeight="1" x14ac:dyDescent="0.2">
      <c r="A15" s="175" t="s">
        <v>426</v>
      </c>
      <c r="B15" s="30" t="s">
        <v>1672</v>
      </c>
      <c r="C15" s="188" t="s">
        <v>421</v>
      </c>
      <c r="D15" s="139">
        <v>8.9909999999999997</v>
      </c>
      <c r="E15" s="140">
        <v>0.72299999999999998</v>
      </c>
      <c r="F15" s="141">
        <v>0.437</v>
      </c>
      <c r="G15" s="177"/>
      <c r="H15" s="177"/>
      <c r="I15" s="181"/>
      <c r="J15" s="32"/>
    </row>
    <row r="16" spans="1:13" ht="27.75" customHeight="1" x14ac:dyDescent="0.2">
      <c r="A16" s="175" t="s">
        <v>427</v>
      </c>
      <c r="B16" s="30" t="s">
        <v>1673</v>
      </c>
      <c r="C16" s="188">
        <v>0</v>
      </c>
      <c r="D16" s="139">
        <v>6.19</v>
      </c>
      <c r="E16" s="140">
        <v>0.6</v>
      </c>
      <c r="F16" s="141">
        <v>0.41499999999999998</v>
      </c>
      <c r="G16" s="176">
        <v>7.76</v>
      </c>
      <c r="H16" s="176">
        <v>2.5</v>
      </c>
      <c r="I16" s="182">
        <v>4.8499999999999996</v>
      </c>
      <c r="J16" s="31">
        <v>0.188</v>
      </c>
    </row>
    <row r="17" spans="1:10" ht="27.75" customHeight="1" x14ac:dyDescent="0.2">
      <c r="A17" s="175" t="s">
        <v>1471</v>
      </c>
      <c r="B17" s="30" t="s">
        <v>1674</v>
      </c>
      <c r="C17" s="188" t="s">
        <v>531</v>
      </c>
      <c r="D17" s="139">
        <v>5.8090000000000002</v>
      </c>
      <c r="E17" s="140">
        <v>0.219</v>
      </c>
      <c r="F17" s="141">
        <v>3.4000000000000002E-2</v>
      </c>
      <c r="G17" s="176">
        <v>7.76</v>
      </c>
      <c r="H17" s="176">
        <v>2.5</v>
      </c>
      <c r="I17" s="182">
        <v>4.8499999999999996</v>
      </c>
      <c r="J17" s="31">
        <v>0.188</v>
      </c>
    </row>
    <row r="18" spans="1:10" ht="27.75" customHeight="1" x14ac:dyDescent="0.2">
      <c r="A18" s="175" t="s">
        <v>428</v>
      </c>
      <c r="B18" s="30" t="s">
        <v>1675</v>
      </c>
      <c r="C18" s="188" t="s">
        <v>529</v>
      </c>
      <c r="D18" s="142">
        <v>27.443000000000001</v>
      </c>
      <c r="E18" s="143">
        <v>1.218</v>
      </c>
      <c r="F18" s="141">
        <v>0.89600000000000002</v>
      </c>
      <c r="G18" s="177"/>
      <c r="H18" s="177"/>
      <c r="I18" s="181"/>
      <c r="J18" s="32"/>
    </row>
    <row r="19" spans="1:10" ht="27.75" customHeight="1" x14ac:dyDescent="0.2">
      <c r="A19" s="175" t="s">
        <v>429</v>
      </c>
      <c r="B19" s="30" t="s">
        <v>1676</v>
      </c>
      <c r="C19" s="188" t="s">
        <v>530</v>
      </c>
      <c r="D19" s="139">
        <v>-9.2620000000000005</v>
      </c>
      <c r="E19" s="140">
        <v>-0.36799999999999999</v>
      </c>
      <c r="F19" s="141">
        <v>-0.06</v>
      </c>
      <c r="G19" s="176">
        <v>0</v>
      </c>
      <c r="H19" s="177"/>
      <c r="I19" s="181"/>
      <c r="J19" s="32"/>
    </row>
    <row r="20" spans="1:10" ht="27.75" customHeight="1" x14ac:dyDescent="0.2">
      <c r="A20" s="175" t="s">
        <v>430</v>
      </c>
      <c r="B20" s="30" t="s">
        <v>1677</v>
      </c>
      <c r="C20" s="188">
        <v>0</v>
      </c>
      <c r="D20" s="139">
        <v>-9.2620000000000005</v>
      </c>
      <c r="E20" s="140">
        <v>-0.36799999999999999</v>
      </c>
      <c r="F20" s="141">
        <v>-0.06</v>
      </c>
      <c r="G20" s="176">
        <v>0</v>
      </c>
      <c r="H20" s="177"/>
      <c r="I20" s="181"/>
      <c r="J20" s="31">
        <v>0.26700000000000002</v>
      </c>
    </row>
    <row r="21" spans="1:10" ht="27.75" customHeight="1" x14ac:dyDescent="0.2">
      <c r="A21" s="178" t="s">
        <v>431</v>
      </c>
      <c r="B21" s="30" t="s">
        <v>1678</v>
      </c>
      <c r="C21" s="188" t="s">
        <v>527</v>
      </c>
      <c r="D21" s="139">
        <v>8.7149999999999999</v>
      </c>
      <c r="E21" s="140">
        <v>0.624</v>
      </c>
      <c r="F21" s="141">
        <v>0.34399999999999997</v>
      </c>
      <c r="G21" s="176">
        <v>2.16</v>
      </c>
      <c r="H21" s="177"/>
      <c r="I21" s="181"/>
      <c r="J21" s="32"/>
    </row>
    <row r="22" spans="1:10" ht="27.75" customHeight="1" x14ac:dyDescent="0.2">
      <c r="A22" s="178" t="s">
        <v>432</v>
      </c>
      <c r="B22" s="30" t="s">
        <v>1679</v>
      </c>
      <c r="C22" s="188" t="s">
        <v>420</v>
      </c>
      <c r="D22" s="139">
        <v>8.7149999999999999</v>
      </c>
      <c r="E22" s="140">
        <v>0.624</v>
      </c>
      <c r="F22" s="141">
        <v>0.34399999999999997</v>
      </c>
      <c r="G22" s="177"/>
      <c r="H22" s="177"/>
      <c r="I22" s="181"/>
      <c r="J22" s="32"/>
    </row>
    <row r="23" spans="1:10" ht="27.75" customHeight="1" x14ac:dyDescent="0.2">
      <c r="A23" s="178" t="s">
        <v>433</v>
      </c>
      <c r="B23" s="30" t="s">
        <v>1680</v>
      </c>
      <c r="C23" s="188" t="s">
        <v>528</v>
      </c>
      <c r="D23" s="139">
        <v>6.8230000000000004</v>
      </c>
      <c r="E23" s="140">
        <v>0.54900000000000004</v>
      </c>
      <c r="F23" s="141">
        <v>0.33100000000000002</v>
      </c>
      <c r="G23" s="176">
        <v>2.23</v>
      </c>
      <c r="H23" s="177"/>
      <c r="I23" s="181"/>
      <c r="J23" s="32"/>
    </row>
    <row r="24" spans="1:10" ht="27.75" customHeight="1" x14ac:dyDescent="0.2">
      <c r="A24" s="178" t="s">
        <v>434</v>
      </c>
      <c r="B24" s="30" t="s">
        <v>1681</v>
      </c>
      <c r="C24" s="188" t="s">
        <v>421</v>
      </c>
      <c r="D24" s="139">
        <v>6.8230000000000004</v>
      </c>
      <c r="E24" s="140">
        <v>0.54900000000000004</v>
      </c>
      <c r="F24" s="141">
        <v>0.33100000000000002</v>
      </c>
      <c r="G24" s="177"/>
      <c r="H24" s="177"/>
      <c r="I24" s="181"/>
      <c r="J24" s="32"/>
    </row>
    <row r="25" spans="1:10" ht="27.75" customHeight="1" x14ac:dyDescent="0.2">
      <c r="A25" s="178" t="s">
        <v>435</v>
      </c>
      <c r="B25" s="30" t="s">
        <v>1682</v>
      </c>
      <c r="C25" s="188">
        <v>0</v>
      </c>
      <c r="D25" s="139">
        <v>4.6970000000000001</v>
      </c>
      <c r="E25" s="140">
        <v>0.45500000000000002</v>
      </c>
      <c r="F25" s="141">
        <v>0.315</v>
      </c>
      <c r="G25" s="176">
        <v>5.94</v>
      </c>
      <c r="H25" s="176">
        <v>1.9</v>
      </c>
      <c r="I25" s="182">
        <v>3.68</v>
      </c>
      <c r="J25" s="31">
        <v>0.14299999999999999</v>
      </c>
    </row>
    <row r="26" spans="1:10" ht="27.75" customHeight="1" x14ac:dyDescent="0.2">
      <c r="A26" s="178" t="s">
        <v>436</v>
      </c>
      <c r="B26" s="30" t="s">
        <v>1683</v>
      </c>
      <c r="C26" s="188">
        <v>0</v>
      </c>
      <c r="D26" s="139">
        <v>4.5309999999999997</v>
      </c>
      <c r="E26" s="140">
        <v>0.56999999999999995</v>
      </c>
      <c r="F26" s="141">
        <v>0.45300000000000001</v>
      </c>
      <c r="G26" s="176">
        <v>6.54</v>
      </c>
      <c r="H26" s="176">
        <v>4.41</v>
      </c>
      <c r="I26" s="182">
        <v>5.76</v>
      </c>
      <c r="J26" s="31">
        <v>0.125</v>
      </c>
    </row>
    <row r="27" spans="1:10" ht="27.75" customHeight="1" x14ac:dyDescent="0.2">
      <c r="A27" s="178" t="s">
        <v>437</v>
      </c>
      <c r="B27" s="30" t="s">
        <v>1684</v>
      </c>
      <c r="C27" s="188">
        <v>0</v>
      </c>
      <c r="D27" s="139">
        <v>4.7320000000000002</v>
      </c>
      <c r="E27" s="140">
        <v>0.61599999999999999</v>
      </c>
      <c r="F27" s="141">
        <v>0.502</v>
      </c>
      <c r="G27" s="176">
        <v>96.14</v>
      </c>
      <c r="H27" s="176">
        <v>3.69</v>
      </c>
      <c r="I27" s="182">
        <v>5.73</v>
      </c>
      <c r="J27" s="31">
        <v>0.13100000000000001</v>
      </c>
    </row>
    <row r="28" spans="1:10" ht="27.75" customHeight="1" x14ac:dyDescent="0.2">
      <c r="A28" s="178" t="s">
        <v>1472</v>
      </c>
      <c r="B28" s="30" t="s">
        <v>1685</v>
      </c>
      <c r="C28" s="188">
        <v>0</v>
      </c>
      <c r="D28" s="139">
        <v>4.4080000000000004</v>
      </c>
      <c r="E28" s="140">
        <v>0.16600000000000001</v>
      </c>
      <c r="F28" s="141">
        <v>2.5999999999999999E-2</v>
      </c>
      <c r="G28" s="176">
        <v>5.94</v>
      </c>
      <c r="H28" s="176">
        <v>1.9</v>
      </c>
      <c r="I28" s="182">
        <v>3.68</v>
      </c>
      <c r="J28" s="31">
        <v>0.14299999999999999</v>
      </c>
    </row>
    <row r="29" spans="1:10" ht="27.75" customHeight="1" x14ac:dyDescent="0.2">
      <c r="A29" s="178" t="s">
        <v>1473</v>
      </c>
      <c r="B29" s="30" t="s">
        <v>1686</v>
      </c>
      <c r="C29" s="188">
        <v>0</v>
      </c>
      <c r="D29" s="139">
        <v>4.0979999999999999</v>
      </c>
      <c r="E29" s="140">
        <v>0.13600000000000001</v>
      </c>
      <c r="F29" s="141">
        <v>0.02</v>
      </c>
      <c r="G29" s="176">
        <v>6.54</v>
      </c>
      <c r="H29" s="176">
        <v>4.41</v>
      </c>
      <c r="I29" s="182">
        <v>5.76</v>
      </c>
      <c r="J29" s="31">
        <v>0.125</v>
      </c>
    </row>
    <row r="30" spans="1:10" ht="27.75" customHeight="1" x14ac:dyDescent="0.2">
      <c r="A30" s="178" t="s">
        <v>1474</v>
      </c>
      <c r="B30" s="30" t="s">
        <v>1687</v>
      </c>
      <c r="C30" s="188">
        <v>0</v>
      </c>
      <c r="D30" s="139">
        <v>4.2480000000000002</v>
      </c>
      <c r="E30" s="140">
        <v>0.13200000000000001</v>
      </c>
      <c r="F30" s="141">
        <v>1.7999999999999999E-2</v>
      </c>
      <c r="G30" s="176">
        <v>96.14</v>
      </c>
      <c r="H30" s="176">
        <v>3.69</v>
      </c>
      <c r="I30" s="182">
        <v>5.73</v>
      </c>
      <c r="J30" s="31">
        <v>0.13100000000000001</v>
      </c>
    </row>
    <row r="31" spans="1:10" ht="27.75" customHeight="1" x14ac:dyDescent="0.2">
      <c r="A31" s="178" t="s">
        <v>438</v>
      </c>
      <c r="B31" s="30" t="s">
        <v>1688</v>
      </c>
      <c r="C31" s="188" t="s">
        <v>529</v>
      </c>
      <c r="D31" s="142">
        <v>20.826000000000001</v>
      </c>
      <c r="E31" s="143">
        <v>0.92400000000000004</v>
      </c>
      <c r="F31" s="141">
        <v>0.68</v>
      </c>
      <c r="G31" s="177"/>
      <c r="H31" s="177"/>
      <c r="I31" s="181"/>
      <c r="J31" s="32"/>
    </row>
    <row r="32" spans="1:10" ht="27.75" customHeight="1" x14ac:dyDescent="0.2">
      <c r="A32" s="178" t="s">
        <v>439</v>
      </c>
      <c r="B32" s="30" t="s">
        <v>1689</v>
      </c>
      <c r="C32" s="188" t="s">
        <v>530</v>
      </c>
      <c r="D32" s="139">
        <v>-9.2620000000000005</v>
      </c>
      <c r="E32" s="140">
        <v>-0.36799999999999999</v>
      </c>
      <c r="F32" s="141">
        <v>-0.06</v>
      </c>
      <c r="G32" s="176">
        <v>0</v>
      </c>
      <c r="H32" s="177"/>
      <c r="I32" s="181"/>
      <c r="J32" s="32"/>
    </row>
    <row r="33" spans="1:10" ht="27.75" customHeight="1" x14ac:dyDescent="0.2">
      <c r="A33" s="178" t="s">
        <v>440</v>
      </c>
      <c r="B33" s="30" t="s">
        <v>1690</v>
      </c>
      <c r="C33" s="188">
        <v>0</v>
      </c>
      <c r="D33" s="139">
        <v>-8.2729999999999997</v>
      </c>
      <c r="E33" s="140">
        <v>-0.318</v>
      </c>
      <c r="F33" s="141">
        <v>-5.0999999999999997E-2</v>
      </c>
      <c r="G33" s="176">
        <v>0</v>
      </c>
      <c r="H33" s="177"/>
      <c r="I33" s="181"/>
      <c r="J33" s="32"/>
    </row>
    <row r="34" spans="1:10" ht="27.75" customHeight="1" x14ac:dyDescent="0.2">
      <c r="A34" s="178" t="s">
        <v>441</v>
      </c>
      <c r="B34" s="30" t="s">
        <v>1691</v>
      </c>
      <c r="C34" s="188" t="s">
        <v>531</v>
      </c>
      <c r="D34" s="139">
        <v>-9.2620000000000005</v>
      </c>
      <c r="E34" s="140">
        <v>-0.36799999999999999</v>
      </c>
      <c r="F34" s="141">
        <v>-0.06</v>
      </c>
      <c r="G34" s="176">
        <v>0</v>
      </c>
      <c r="H34" s="177"/>
      <c r="I34" s="181"/>
      <c r="J34" s="31">
        <v>0.26700000000000002</v>
      </c>
    </row>
    <row r="35" spans="1:10" ht="27.75" customHeight="1" x14ac:dyDescent="0.2">
      <c r="A35" s="178" t="s">
        <v>442</v>
      </c>
      <c r="B35" s="30" t="s">
        <v>1692</v>
      </c>
      <c r="C35" s="188" t="s">
        <v>531</v>
      </c>
      <c r="D35" s="139">
        <v>-8.2729999999999997</v>
      </c>
      <c r="E35" s="140">
        <v>-0.318</v>
      </c>
      <c r="F35" s="141">
        <v>-5.0999999999999997E-2</v>
      </c>
      <c r="G35" s="176">
        <v>0</v>
      </c>
      <c r="H35" s="177"/>
      <c r="I35" s="181"/>
      <c r="J35" s="31">
        <v>0.24299999999999999</v>
      </c>
    </row>
    <row r="36" spans="1:10" ht="27.75" customHeight="1" x14ac:dyDescent="0.2">
      <c r="A36" s="178" t="s">
        <v>443</v>
      </c>
      <c r="B36" s="30" t="s">
        <v>1693</v>
      </c>
      <c r="C36" s="188" t="s">
        <v>531</v>
      </c>
      <c r="D36" s="139">
        <v>-5.7690000000000001</v>
      </c>
      <c r="E36" s="140">
        <v>-0.189</v>
      </c>
      <c r="F36" s="141">
        <v>-2.7E-2</v>
      </c>
      <c r="G36" s="176">
        <v>0</v>
      </c>
      <c r="H36" s="177"/>
      <c r="I36" s="181"/>
      <c r="J36" s="31">
        <v>0.19600000000000001</v>
      </c>
    </row>
    <row r="37" spans="1:10" ht="27.75" customHeight="1" x14ac:dyDescent="0.2">
      <c r="A37" s="175" t="s">
        <v>444</v>
      </c>
      <c r="B37" s="30" t="s">
        <v>1694</v>
      </c>
      <c r="C37" s="188" t="s">
        <v>527</v>
      </c>
      <c r="D37" s="139">
        <v>6.3920000000000003</v>
      </c>
      <c r="E37" s="140">
        <v>0.45800000000000002</v>
      </c>
      <c r="F37" s="141">
        <v>0.252</v>
      </c>
      <c r="G37" s="176">
        <v>1.63</v>
      </c>
      <c r="H37" s="177"/>
      <c r="I37" s="181"/>
      <c r="J37" s="32"/>
    </row>
    <row r="38" spans="1:10" ht="27.75" customHeight="1" x14ac:dyDescent="0.2">
      <c r="A38" s="175" t="s">
        <v>445</v>
      </c>
      <c r="B38" s="30" t="s">
        <v>1695</v>
      </c>
      <c r="C38" s="188" t="s">
        <v>420</v>
      </c>
      <c r="D38" s="139">
        <v>6.3920000000000003</v>
      </c>
      <c r="E38" s="140">
        <v>0.45800000000000002</v>
      </c>
      <c r="F38" s="141">
        <v>0.252</v>
      </c>
      <c r="G38" s="177"/>
      <c r="H38" s="177"/>
      <c r="I38" s="181"/>
      <c r="J38" s="32"/>
    </row>
    <row r="39" spans="1:10" ht="27.75" customHeight="1" x14ac:dyDescent="0.2">
      <c r="A39" s="175" t="s">
        <v>446</v>
      </c>
      <c r="B39" s="30" t="s">
        <v>1696</v>
      </c>
      <c r="C39" s="188" t="s">
        <v>528</v>
      </c>
      <c r="D39" s="139">
        <v>5.0039999999999996</v>
      </c>
      <c r="E39" s="140">
        <v>0.40300000000000002</v>
      </c>
      <c r="F39" s="141">
        <v>0.24299999999999999</v>
      </c>
      <c r="G39" s="176">
        <v>1.69</v>
      </c>
      <c r="H39" s="177"/>
      <c r="I39" s="181"/>
      <c r="J39" s="32"/>
    </row>
    <row r="40" spans="1:10" ht="27.75" customHeight="1" x14ac:dyDescent="0.2">
      <c r="A40" s="175" t="s">
        <v>447</v>
      </c>
      <c r="B40" s="30" t="s">
        <v>1697</v>
      </c>
      <c r="C40" s="188" t="s">
        <v>421</v>
      </c>
      <c r="D40" s="139">
        <v>5.0039999999999996</v>
      </c>
      <c r="E40" s="140">
        <v>0.40300000000000002</v>
      </c>
      <c r="F40" s="141">
        <v>0.24299999999999999</v>
      </c>
      <c r="G40" s="177"/>
      <c r="H40" s="177"/>
      <c r="I40" s="181"/>
      <c r="J40" s="32"/>
    </row>
    <row r="41" spans="1:10" ht="27.75" customHeight="1" x14ac:dyDescent="0.2">
      <c r="A41" s="175" t="s">
        <v>448</v>
      </c>
      <c r="B41" s="30" t="s">
        <v>1698</v>
      </c>
      <c r="C41" s="188" t="s">
        <v>531</v>
      </c>
      <c r="D41" s="139">
        <v>3.4449999999999998</v>
      </c>
      <c r="E41" s="140">
        <v>0.33400000000000002</v>
      </c>
      <c r="F41" s="141">
        <v>0.23100000000000001</v>
      </c>
      <c r="G41" s="176">
        <v>4.41</v>
      </c>
      <c r="H41" s="176">
        <v>1.39</v>
      </c>
      <c r="I41" s="182">
        <v>2.7</v>
      </c>
      <c r="J41" s="31">
        <v>0.105</v>
      </c>
    </row>
    <row r="42" spans="1:10" ht="27.75" customHeight="1" x14ac:dyDescent="0.2">
      <c r="A42" s="175" t="s">
        <v>449</v>
      </c>
      <c r="B42" s="30" t="s">
        <v>1699</v>
      </c>
      <c r="C42" s="188" t="s">
        <v>531</v>
      </c>
      <c r="D42" s="139">
        <v>3.2879999999999998</v>
      </c>
      <c r="E42" s="140">
        <v>0.41299999999999998</v>
      </c>
      <c r="F42" s="141">
        <v>0.32900000000000001</v>
      </c>
      <c r="G42" s="176">
        <v>4.8</v>
      </c>
      <c r="H42" s="176">
        <v>3.2</v>
      </c>
      <c r="I42" s="182">
        <v>4.18</v>
      </c>
      <c r="J42" s="31">
        <v>9.0999999999999998E-2</v>
      </c>
    </row>
    <row r="43" spans="1:10" ht="27.75" customHeight="1" x14ac:dyDescent="0.2">
      <c r="A43" s="175" t="s">
        <v>450</v>
      </c>
      <c r="B43" s="30" t="s">
        <v>1700</v>
      </c>
      <c r="C43" s="188" t="s">
        <v>531</v>
      </c>
      <c r="D43" s="139">
        <v>3.42</v>
      </c>
      <c r="E43" s="140">
        <v>0.44500000000000001</v>
      </c>
      <c r="F43" s="141">
        <v>0.36299999999999999</v>
      </c>
      <c r="G43" s="176">
        <v>69.540000000000006</v>
      </c>
      <c r="H43" s="176">
        <v>2.67</v>
      </c>
      <c r="I43" s="182">
        <v>4.1399999999999997</v>
      </c>
      <c r="J43" s="31">
        <v>9.5000000000000001E-2</v>
      </c>
    </row>
    <row r="44" spans="1:10" ht="27.75" customHeight="1" x14ac:dyDescent="0.2">
      <c r="A44" s="175" t="s">
        <v>1475</v>
      </c>
      <c r="B44" s="30" t="s">
        <v>1701</v>
      </c>
      <c r="C44" s="188">
        <v>0</v>
      </c>
      <c r="D44" s="139">
        <v>3.2330000000000001</v>
      </c>
      <c r="E44" s="140">
        <v>0.122</v>
      </c>
      <c r="F44" s="141">
        <v>1.9E-2</v>
      </c>
      <c r="G44" s="176">
        <v>4.41</v>
      </c>
      <c r="H44" s="176">
        <v>1.39</v>
      </c>
      <c r="I44" s="182">
        <v>2.7</v>
      </c>
      <c r="J44" s="31">
        <v>0.105</v>
      </c>
    </row>
    <row r="45" spans="1:10" ht="27.75" customHeight="1" x14ac:dyDescent="0.2">
      <c r="A45" s="175" t="s">
        <v>1476</v>
      </c>
      <c r="B45" s="30" t="s">
        <v>1702</v>
      </c>
      <c r="C45" s="188">
        <v>0</v>
      </c>
      <c r="D45" s="139">
        <v>2.9729999999999999</v>
      </c>
      <c r="E45" s="140">
        <v>9.9000000000000005E-2</v>
      </c>
      <c r="F45" s="141">
        <v>1.4E-2</v>
      </c>
      <c r="G45" s="176">
        <v>4.8</v>
      </c>
      <c r="H45" s="176">
        <v>3.2</v>
      </c>
      <c r="I45" s="182">
        <v>4.18</v>
      </c>
      <c r="J45" s="31">
        <v>9.0999999999999998E-2</v>
      </c>
    </row>
    <row r="46" spans="1:10" ht="27.75" customHeight="1" x14ac:dyDescent="0.2">
      <c r="A46" s="175" t="s">
        <v>1477</v>
      </c>
      <c r="B46" s="30" t="s">
        <v>1703</v>
      </c>
      <c r="C46" s="188">
        <v>0</v>
      </c>
      <c r="D46" s="139">
        <v>3.07</v>
      </c>
      <c r="E46" s="140">
        <v>9.6000000000000002E-2</v>
      </c>
      <c r="F46" s="141">
        <v>1.2999999999999999E-2</v>
      </c>
      <c r="G46" s="176">
        <v>69.540000000000006</v>
      </c>
      <c r="H46" s="176">
        <v>2.67</v>
      </c>
      <c r="I46" s="182">
        <v>4.1399999999999997</v>
      </c>
      <c r="J46" s="31">
        <v>9.5000000000000001E-2</v>
      </c>
    </row>
    <row r="47" spans="1:10" ht="27.75" customHeight="1" x14ac:dyDescent="0.2">
      <c r="A47" s="175" t="s">
        <v>451</v>
      </c>
      <c r="B47" s="30" t="s">
        <v>1704</v>
      </c>
      <c r="C47" s="188" t="s">
        <v>529</v>
      </c>
      <c r="D47" s="142">
        <v>15.273999999999999</v>
      </c>
      <c r="E47" s="143">
        <v>0.67800000000000005</v>
      </c>
      <c r="F47" s="141">
        <v>0.499</v>
      </c>
      <c r="G47" s="177"/>
      <c r="H47" s="177"/>
      <c r="I47" s="181"/>
      <c r="J47" s="32"/>
    </row>
    <row r="48" spans="1:10" ht="27.75" customHeight="1" x14ac:dyDescent="0.2">
      <c r="A48" s="175" t="s">
        <v>452</v>
      </c>
      <c r="B48" s="30" t="s">
        <v>1705</v>
      </c>
      <c r="C48" s="188" t="s">
        <v>530</v>
      </c>
      <c r="D48" s="139">
        <v>-5.2069999999999999</v>
      </c>
      <c r="E48" s="140">
        <v>-0.20699999999999999</v>
      </c>
      <c r="F48" s="141">
        <v>-3.4000000000000002E-2</v>
      </c>
      <c r="G48" s="176">
        <v>0</v>
      </c>
      <c r="H48" s="177"/>
      <c r="I48" s="181"/>
      <c r="J48" s="32"/>
    </row>
    <row r="49" spans="1:10" ht="27.75" customHeight="1" x14ac:dyDescent="0.2">
      <c r="A49" s="175" t="s">
        <v>453</v>
      </c>
      <c r="B49" s="30" t="s">
        <v>1706</v>
      </c>
      <c r="C49" s="188">
        <v>0</v>
      </c>
      <c r="D49" s="139">
        <v>-5.1719999999999997</v>
      </c>
      <c r="E49" s="140">
        <v>-0.19900000000000001</v>
      </c>
      <c r="F49" s="141">
        <v>-3.2000000000000001E-2</v>
      </c>
      <c r="G49" s="176">
        <v>0</v>
      </c>
      <c r="H49" s="177"/>
      <c r="I49" s="181"/>
      <c r="J49" s="32"/>
    </row>
    <row r="50" spans="1:10" ht="27.75" customHeight="1" x14ac:dyDescent="0.2">
      <c r="A50" s="175" t="s">
        <v>454</v>
      </c>
      <c r="B50" s="30" t="s">
        <v>1707</v>
      </c>
      <c r="C50" s="188" t="s">
        <v>531</v>
      </c>
      <c r="D50" s="139">
        <v>-5.2069999999999999</v>
      </c>
      <c r="E50" s="140">
        <v>-0.20699999999999999</v>
      </c>
      <c r="F50" s="141">
        <v>-3.4000000000000002E-2</v>
      </c>
      <c r="G50" s="176">
        <v>0</v>
      </c>
      <c r="H50" s="177"/>
      <c r="I50" s="181"/>
      <c r="J50" s="31">
        <v>0.15</v>
      </c>
    </row>
    <row r="51" spans="1:10" ht="27.75" customHeight="1" x14ac:dyDescent="0.2">
      <c r="A51" s="175" t="s">
        <v>455</v>
      </c>
      <c r="B51" s="30" t="s">
        <v>1708</v>
      </c>
      <c r="C51" s="188" t="s">
        <v>531</v>
      </c>
      <c r="D51" s="139">
        <v>-5.1719999999999997</v>
      </c>
      <c r="E51" s="140">
        <v>-0.19900000000000001</v>
      </c>
      <c r="F51" s="141">
        <v>-3.2000000000000001E-2</v>
      </c>
      <c r="G51" s="176">
        <v>0</v>
      </c>
      <c r="H51" s="177"/>
      <c r="I51" s="181"/>
      <c r="J51" s="31">
        <v>0.152</v>
      </c>
    </row>
    <row r="52" spans="1:10" ht="27.75" customHeight="1" x14ac:dyDescent="0.2">
      <c r="A52" s="175" t="s">
        <v>456</v>
      </c>
      <c r="B52" s="30" t="s">
        <v>1709</v>
      </c>
      <c r="C52" s="188" t="s">
        <v>531</v>
      </c>
      <c r="D52" s="139">
        <v>-5.7690000000000001</v>
      </c>
      <c r="E52" s="140">
        <v>-0.189</v>
      </c>
      <c r="F52" s="141">
        <v>-2.7E-2</v>
      </c>
      <c r="G52" s="176">
        <v>9.39</v>
      </c>
      <c r="H52" s="177"/>
      <c r="I52" s="181"/>
      <c r="J52" s="31">
        <v>0.19600000000000001</v>
      </c>
    </row>
    <row r="53" spans="1:10" ht="27.75" customHeight="1" x14ac:dyDescent="0.2">
      <c r="A53" s="175" t="s">
        <v>457</v>
      </c>
      <c r="B53" s="30" t="s">
        <v>1710</v>
      </c>
      <c r="C53" s="188" t="s">
        <v>527</v>
      </c>
      <c r="D53" s="139">
        <v>5.1859999999999999</v>
      </c>
      <c r="E53" s="140">
        <v>0.371</v>
      </c>
      <c r="F53" s="141">
        <v>0.20399999999999999</v>
      </c>
      <c r="G53" s="176">
        <v>1.36</v>
      </c>
      <c r="H53" s="177"/>
      <c r="I53" s="181"/>
      <c r="J53" s="32"/>
    </row>
    <row r="54" spans="1:10" ht="27.75" customHeight="1" x14ac:dyDescent="0.2">
      <c r="A54" s="175" t="s">
        <v>458</v>
      </c>
      <c r="B54" s="30" t="s">
        <v>1711</v>
      </c>
      <c r="C54" s="188" t="s">
        <v>420</v>
      </c>
      <c r="D54" s="139">
        <v>5.1859999999999999</v>
      </c>
      <c r="E54" s="140">
        <v>0.371</v>
      </c>
      <c r="F54" s="141">
        <v>0.20399999999999999</v>
      </c>
      <c r="G54" s="177"/>
      <c r="H54" s="177"/>
      <c r="I54" s="181"/>
      <c r="J54" s="32"/>
    </row>
    <row r="55" spans="1:10" ht="27.75" customHeight="1" x14ac:dyDescent="0.2">
      <c r="A55" s="175" t="s">
        <v>459</v>
      </c>
      <c r="B55" s="30" t="s">
        <v>1712</v>
      </c>
      <c r="C55" s="188" t="s">
        <v>528</v>
      </c>
      <c r="D55" s="139">
        <v>4.0599999999999996</v>
      </c>
      <c r="E55" s="140">
        <v>0.32700000000000001</v>
      </c>
      <c r="F55" s="141">
        <v>0.19700000000000001</v>
      </c>
      <c r="G55" s="176">
        <v>1.4</v>
      </c>
      <c r="H55" s="177"/>
      <c r="I55" s="181"/>
      <c r="J55" s="32"/>
    </row>
    <row r="56" spans="1:10" ht="27.75" customHeight="1" x14ac:dyDescent="0.2">
      <c r="A56" s="175" t="s">
        <v>460</v>
      </c>
      <c r="B56" s="30" t="s">
        <v>1713</v>
      </c>
      <c r="C56" s="188" t="s">
        <v>421</v>
      </c>
      <c r="D56" s="139">
        <v>4.0599999999999996</v>
      </c>
      <c r="E56" s="140">
        <v>0.32700000000000001</v>
      </c>
      <c r="F56" s="141">
        <v>0.19700000000000001</v>
      </c>
      <c r="G56" s="177"/>
      <c r="H56" s="177"/>
      <c r="I56" s="181"/>
      <c r="J56" s="32"/>
    </row>
    <row r="57" spans="1:10" ht="27.75" customHeight="1" x14ac:dyDescent="0.2">
      <c r="A57" s="175" t="s">
        <v>461</v>
      </c>
      <c r="B57" s="30" t="s">
        <v>1714</v>
      </c>
      <c r="C57" s="188" t="s">
        <v>531</v>
      </c>
      <c r="D57" s="139">
        <v>2.7949999999999999</v>
      </c>
      <c r="E57" s="140">
        <v>0.27100000000000002</v>
      </c>
      <c r="F57" s="141">
        <v>0.188</v>
      </c>
      <c r="G57" s="176">
        <v>3.61</v>
      </c>
      <c r="H57" s="176">
        <v>1.1299999999999999</v>
      </c>
      <c r="I57" s="182">
        <v>2.19</v>
      </c>
      <c r="J57" s="31">
        <v>8.5000000000000006E-2</v>
      </c>
    </row>
    <row r="58" spans="1:10" ht="27.75" customHeight="1" x14ac:dyDescent="0.2">
      <c r="A58" s="175" t="s">
        <v>462</v>
      </c>
      <c r="B58" s="30" t="s">
        <v>1715</v>
      </c>
      <c r="C58" s="188" t="s">
        <v>531</v>
      </c>
      <c r="D58" s="139">
        <v>2.6680000000000001</v>
      </c>
      <c r="E58" s="140">
        <v>0.33500000000000002</v>
      </c>
      <c r="F58" s="141">
        <v>0.26700000000000002</v>
      </c>
      <c r="G58" s="176">
        <v>3.93</v>
      </c>
      <c r="H58" s="176">
        <v>2.6</v>
      </c>
      <c r="I58" s="182">
        <v>3.39</v>
      </c>
      <c r="J58" s="31">
        <v>7.3999999999999996E-2</v>
      </c>
    </row>
    <row r="59" spans="1:10" ht="27.75" customHeight="1" x14ac:dyDescent="0.2">
      <c r="A59" s="175" t="s">
        <v>463</v>
      </c>
      <c r="B59" s="30" t="s">
        <v>1716</v>
      </c>
      <c r="C59" s="188" t="s">
        <v>531</v>
      </c>
      <c r="D59" s="139">
        <v>2.7749999999999999</v>
      </c>
      <c r="E59" s="140">
        <v>0.36099999999999999</v>
      </c>
      <c r="F59" s="141">
        <v>0.29399999999999998</v>
      </c>
      <c r="G59" s="176">
        <v>56.46</v>
      </c>
      <c r="H59" s="176">
        <v>2.17</v>
      </c>
      <c r="I59" s="182">
        <v>3.36</v>
      </c>
      <c r="J59" s="31">
        <v>7.6999999999999999E-2</v>
      </c>
    </row>
    <row r="60" spans="1:10" ht="27.75" customHeight="1" x14ac:dyDescent="0.2">
      <c r="A60" s="175" t="s">
        <v>1478</v>
      </c>
      <c r="B60" s="30" t="s">
        <v>1717</v>
      </c>
      <c r="C60" s="188">
        <v>0</v>
      </c>
      <c r="D60" s="139">
        <v>2.6230000000000002</v>
      </c>
      <c r="E60" s="140">
        <v>9.9000000000000005E-2</v>
      </c>
      <c r="F60" s="141">
        <v>1.6E-2</v>
      </c>
      <c r="G60" s="176">
        <v>3.61</v>
      </c>
      <c r="H60" s="176">
        <v>1.1299999999999999</v>
      </c>
      <c r="I60" s="182">
        <v>2.19</v>
      </c>
      <c r="J60" s="31">
        <v>8.5000000000000006E-2</v>
      </c>
    </row>
    <row r="61" spans="1:10" ht="27.75" customHeight="1" x14ac:dyDescent="0.2">
      <c r="A61" s="175" t="s">
        <v>1479</v>
      </c>
      <c r="B61" s="30" t="s">
        <v>1718</v>
      </c>
      <c r="C61" s="188">
        <v>0</v>
      </c>
      <c r="D61" s="139">
        <v>2.4119999999999999</v>
      </c>
      <c r="E61" s="140">
        <v>0.08</v>
      </c>
      <c r="F61" s="141">
        <v>1.2E-2</v>
      </c>
      <c r="G61" s="176">
        <v>3.93</v>
      </c>
      <c r="H61" s="176">
        <v>2.6</v>
      </c>
      <c r="I61" s="182">
        <v>3.39</v>
      </c>
      <c r="J61" s="31">
        <v>7.3999999999999996E-2</v>
      </c>
    </row>
    <row r="62" spans="1:10" ht="27.75" customHeight="1" x14ac:dyDescent="0.2">
      <c r="A62" s="175" t="s">
        <v>1480</v>
      </c>
      <c r="B62" s="30" t="s">
        <v>1719</v>
      </c>
      <c r="C62" s="188">
        <v>0</v>
      </c>
      <c r="D62" s="139">
        <v>2.4910000000000001</v>
      </c>
      <c r="E62" s="140">
        <v>7.8E-2</v>
      </c>
      <c r="F62" s="141">
        <v>0.01</v>
      </c>
      <c r="G62" s="176">
        <v>56.46</v>
      </c>
      <c r="H62" s="176">
        <v>2.17</v>
      </c>
      <c r="I62" s="182">
        <v>3.36</v>
      </c>
      <c r="J62" s="31">
        <v>7.6999999999999999E-2</v>
      </c>
    </row>
    <row r="63" spans="1:10" ht="27.75" customHeight="1" x14ac:dyDescent="0.2">
      <c r="A63" s="175" t="s">
        <v>464</v>
      </c>
      <c r="B63" s="30" t="s">
        <v>1720</v>
      </c>
      <c r="C63" s="188" t="s">
        <v>529</v>
      </c>
      <c r="D63" s="142">
        <v>12.393000000000001</v>
      </c>
      <c r="E63" s="143">
        <v>0.55000000000000004</v>
      </c>
      <c r="F63" s="141">
        <v>0.40500000000000003</v>
      </c>
      <c r="G63" s="177"/>
      <c r="H63" s="177"/>
      <c r="I63" s="181"/>
      <c r="J63" s="32"/>
    </row>
    <row r="64" spans="1:10" ht="27.75" customHeight="1" x14ac:dyDescent="0.2">
      <c r="A64" s="175" t="s">
        <v>465</v>
      </c>
      <c r="B64" s="30" t="s">
        <v>1721</v>
      </c>
      <c r="C64" s="188" t="s">
        <v>530</v>
      </c>
      <c r="D64" s="139">
        <v>-4.2249999999999996</v>
      </c>
      <c r="E64" s="140">
        <v>-0.16800000000000001</v>
      </c>
      <c r="F64" s="141">
        <v>-2.7E-2</v>
      </c>
      <c r="G64" s="176">
        <v>0</v>
      </c>
      <c r="H64" s="177"/>
      <c r="I64" s="181"/>
      <c r="J64" s="32"/>
    </row>
    <row r="65" spans="1:10" ht="27.75" customHeight="1" x14ac:dyDescent="0.2">
      <c r="A65" s="175" t="s">
        <v>466</v>
      </c>
      <c r="B65" s="30" t="s">
        <v>1722</v>
      </c>
      <c r="C65" s="188">
        <v>0</v>
      </c>
      <c r="D65" s="139">
        <v>-4.1970000000000001</v>
      </c>
      <c r="E65" s="140">
        <v>-0.161</v>
      </c>
      <c r="F65" s="141">
        <v>-2.5999999999999999E-2</v>
      </c>
      <c r="G65" s="176">
        <v>0</v>
      </c>
      <c r="H65" s="177"/>
      <c r="I65" s="181"/>
      <c r="J65" s="32"/>
    </row>
    <row r="66" spans="1:10" ht="27.75" customHeight="1" x14ac:dyDescent="0.2">
      <c r="A66" s="175" t="s">
        <v>467</v>
      </c>
      <c r="B66" s="30" t="s">
        <v>1723</v>
      </c>
      <c r="C66" s="188" t="s">
        <v>531</v>
      </c>
      <c r="D66" s="139">
        <v>-4.2249999999999996</v>
      </c>
      <c r="E66" s="140">
        <v>-0.16800000000000001</v>
      </c>
      <c r="F66" s="141">
        <v>-2.7E-2</v>
      </c>
      <c r="G66" s="176">
        <v>0</v>
      </c>
      <c r="H66" s="177"/>
      <c r="I66" s="181"/>
      <c r="J66" s="31">
        <v>0.122</v>
      </c>
    </row>
    <row r="67" spans="1:10" ht="27.75" customHeight="1" x14ac:dyDescent="0.2">
      <c r="A67" s="175" t="s">
        <v>468</v>
      </c>
      <c r="B67" s="30" t="s">
        <v>1724</v>
      </c>
      <c r="C67" s="188" t="s">
        <v>531</v>
      </c>
      <c r="D67" s="139">
        <v>-4.1970000000000001</v>
      </c>
      <c r="E67" s="140">
        <v>-0.161</v>
      </c>
      <c r="F67" s="141">
        <v>-2.5999999999999999E-2</v>
      </c>
      <c r="G67" s="176">
        <v>0</v>
      </c>
      <c r="H67" s="177"/>
      <c r="I67" s="181"/>
      <c r="J67" s="31">
        <v>0.123</v>
      </c>
    </row>
    <row r="68" spans="1:10" ht="27.75" customHeight="1" x14ac:dyDescent="0.2">
      <c r="A68" s="175" t="s">
        <v>469</v>
      </c>
      <c r="B68" s="30" t="s">
        <v>1725</v>
      </c>
      <c r="C68" s="188" t="s">
        <v>531</v>
      </c>
      <c r="D68" s="139">
        <v>-4.681</v>
      </c>
      <c r="E68" s="140">
        <v>-0.153</v>
      </c>
      <c r="F68" s="141">
        <v>-2.1999999999999999E-2</v>
      </c>
      <c r="G68" s="176">
        <v>7.62</v>
      </c>
      <c r="H68" s="177"/>
      <c r="I68" s="181"/>
      <c r="J68" s="31">
        <v>0.159</v>
      </c>
    </row>
    <row r="69" spans="1:10" ht="27.75" customHeight="1" x14ac:dyDescent="0.2">
      <c r="A69" s="175" t="s">
        <v>470</v>
      </c>
      <c r="B69" s="30" t="s">
        <v>1726</v>
      </c>
      <c r="C69" s="188" t="s">
        <v>527</v>
      </c>
      <c r="D69" s="139">
        <v>4.3330000000000002</v>
      </c>
      <c r="E69" s="140">
        <v>0.31</v>
      </c>
      <c r="F69" s="141">
        <v>0.17100000000000001</v>
      </c>
      <c r="G69" s="176">
        <v>1.17</v>
      </c>
      <c r="H69" s="177"/>
      <c r="I69" s="181"/>
      <c r="J69" s="32"/>
    </row>
    <row r="70" spans="1:10" ht="27.75" customHeight="1" x14ac:dyDescent="0.2">
      <c r="A70" s="175" t="s">
        <v>471</v>
      </c>
      <c r="B70" s="30" t="s">
        <v>1727</v>
      </c>
      <c r="C70" s="188" t="s">
        <v>420</v>
      </c>
      <c r="D70" s="139">
        <v>4.3330000000000002</v>
      </c>
      <c r="E70" s="140">
        <v>0.31</v>
      </c>
      <c r="F70" s="141">
        <v>0.17100000000000001</v>
      </c>
      <c r="G70" s="177"/>
      <c r="H70" s="177"/>
      <c r="I70" s="181"/>
      <c r="J70" s="32"/>
    </row>
    <row r="71" spans="1:10" ht="27.75" customHeight="1" x14ac:dyDescent="0.2">
      <c r="A71" s="175" t="s">
        <v>472</v>
      </c>
      <c r="B71" s="30" t="s">
        <v>1728</v>
      </c>
      <c r="C71" s="188" t="s">
        <v>528</v>
      </c>
      <c r="D71" s="139">
        <v>3.3919999999999999</v>
      </c>
      <c r="E71" s="140">
        <v>0.27300000000000002</v>
      </c>
      <c r="F71" s="141">
        <v>0.16500000000000001</v>
      </c>
      <c r="G71" s="176">
        <v>1.2</v>
      </c>
      <c r="H71" s="177"/>
      <c r="I71" s="181"/>
      <c r="J71" s="32"/>
    </row>
    <row r="72" spans="1:10" ht="27.75" customHeight="1" x14ac:dyDescent="0.2">
      <c r="A72" s="175" t="s">
        <v>473</v>
      </c>
      <c r="B72" s="30" t="s">
        <v>1729</v>
      </c>
      <c r="C72" s="188" t="s">
        <v>421</v>
      </c>
      <c r="D72" s="139">
        <v>3.3919999999999999</v>
      </c>
      <c r="E72" s="140">
        <v>0.27300000000000002</v>
      </c>
      <c r="F72" s="141">
        <v>0.16500000000000001</v>
      </c>
      <c r="G72" s="177"/>
      <c r="H72" s="177"/>
      <c r="I72" s="181"/>
      <c r="J72" s="32"/>
    </row>
    <row r="73" spans="1:10" ht="27.75" customHeight="1" x14ac:dyDescent="0.2">
      <c r="A73" s="175" t="s">
        <v>474</v>
      </c>
      <c r="B73" s="30" t="s">
        <v>1730</v>
      </c>
      <c r="C73" s="188" t="s">
        <v>531</v>
      </c>
      <c r="D73" s="139">
        <v>2.3359999999999999</v>
      </c>
      <c r="E73" s="140">
        <v>0.22600000000000001</v>
      </c>
      <c r="F73" s="141">
        <v>0.157</v>
      </c>
      <c r="G73" s="176">
        <v>3.05</v>
      </c>
      <c r="H73" s="176">
        <v>0.94</v>
      </c>
      <c r="I73" s="182">
        <v>1.83</v>
      </c>
      <c r="J73" s="31">
        <v>7.0999999999999994E-2</v>
      </c>
    </row>
    <row r="74" spans="1:10" ht="27.75" customHeight="1" x14ac:dyDescent="0.2">
      <c r="A74" s="175" t="s">
        <v>475</v>
      </c>
      <c r="B74" s="30" t="s">
        <v>1731</v>
      </c>
      <c r="C74" s="188" t="s">
        <v>531</v>
      </c>
      <c r="D74" s="139">
        <v>2.2290000000000001</v>
      </c>
      <c r="E74" s="140">
        <v>0.28000000000000003</v>
      </c>
      <c r="F74" s="141">
        <v>0.223</v>
      </c>
      <c r="G74" s="176">
        <v>3.31</v>
      </c>
      <c r="H74" s="176">
        <v>2.17</v>
      </c>
      <c r="I74" s="182">
        <v>2.83</v>
      </c>
      <c r="J74" s="31">
        <v>6.2E-2</v>
      </c>
    </row>
    <row r="75" spans="1:10" ht="27.75" customHeight="1" x14ac:dyDescent="0.2">
      <c r="A75" s="175" t="s">
        <v>476</v>
      </c>
      <c r="B75" s="30" t="s">
        <v>1732</v>
      </c>
      <c r="C75" s="188" t="s">
        <v>531</v>
      </c>
      <c r="D75" s="139">
        <v>2.319</v>
      </c>
      <c r="E75" s="140">
        <v>0.30199999999999999</v>
      </c>
      <c r="F75" s="141">
        <v>0.246</v>
      </c>
      <c r="G75" s="176">
        <v>47.2</v>
      </c>
      <c r="H75" s="176">
        <v>1.81</v>
      </c>
      <c r="I75" s="182">
        <v>2.81</v>
      </c>
      <c r="J75" s="31">
        <v>6.4000000000000001E-2</v>
      </c>
    </row>
    <row r="76" spans="1:10" ht="27.75" customHeight="1" x14ac:dyDescent="0.2">
      <c r="A76" s="175" t="s">
        <v>1481</v>
      </c>
      <c r="B76" s="30" t="s">
        <v>1733</v>
      </c>
      <c r="C76" s="188">
        <v>0</v>
      </c>
      <c r="D76" s="139">
        <v>2.1920000000000002</v>
      </c>
      <c r="E76" s="140">
        <v>8.2000000000000003E-2</v>
      </c>
      <c r="F76" s="141">
        <v>1.2999999999999999E-2</v>
      </c>
      <c r="G76" s="176">
        <v>3.05</v>
      </c>
      <c r="H76" s="176">
        <v>0.94</v>
      </c>
      <c r="I76" s="182">
        <v>1.83</v>
      </c>
      <c r="J76" s="31">
        <v>7.0999999999999994E-2</v>
      </c>
    </row>
    <row r="77" spans="1:10" ht="27.75" customHeight="1" x14ac:dyDescent="0.2">
      <c r="A77" s="175" t="s">
        <v>1482</v>
      </c>
      <c r="B77" s="30" t="s">
        <v>1734</v>
      </c>
      <c r="C77" s="188">
        <v>0</v>
      </c>
      <c r="D77" s="139">
        <v>2.016</v>
      </c>
      <c r="E77" s="140">
        <v>6.7000000000000004E-2</v>
      </c>
      <c r="F77" s="141">
        <v>0.01</v>
      </c>
      <c r="G77" s="176">
        <v>3.31</v>
      </c>
      <c r="H77" s="176">
        <v>2.17</v>
      </c>
      <c r="I77" s="182">
        <v>2.83</v>
      </c>
      <c r="J77" s="31">
        <v>6.2E-2</v>
      </c>
    </row>
    <row r="78" spans="1:10" ht="27.75" customHeight="1" x14ac:dyDescent="0.2">
      <c r="A78" s="175" t="s">
        <v>1483</v>
      </c>
      <c r="B78" s="30" t="s">
        <v>1735</v>
      </c>
      <c r="C78" s="188">
        <v>0</v>
      </c>
      <c r="D78" s="139">
        <v>2.0819999999999999</v>
      </c>
      <c r="E78" s="140">
        <v>6.5000000000000002E-2</v>
      </c>
      <c r="F78" s="141">
        <v>8.9999999999999993E-3</v>
      </c>
      <c r="G78" s="176">
        <v>47.2</v>
      </c>
      <c r="H78" s="176">
        <v>1.81</v>
      </c>
      <c r="I78" s="182">
        <v>2.81</v>
      </c>
      <c r="J78" s="31">
        <v>6.4000000000000001E-2</v>
      </c>
    </row>
    <row r="79" spans="1:10" ht="27.75" customHeight="1" x14ac:dyDescent="0.2">
      <c r="A79" s="175" t="s">
        <v>477</v>
      </c>
      <c r="B79" s="30" t="s">
        <v>1736</v>
      </c>
      <c r="C79" s="188" t="s">
        <v>529</v>
      </c>
      <c r="D79" s="142">
        <v>10.355</v>
      </c>
      <c r="E79" s="143">
        <v>0.46</v>
      </c>
      <c r="F79" s="141">
        <v>0.33800000000000002</v>
      </c>
      <c r="G79" s="177"/>
      <c r="H79" s="177"/>
      <c r="I79" s="181"/>
      <c r="J79" s="32"/>
    </row>
    <row r="80" spans="1:10" ht="27.75" customHeight="1" x14ac:dyDescent="0.2">
      <c r="A80" s="175" t="s">
        <v>478</v>
      </c>
      <c r="B80" s="30" t="s">
        <v>1737</v>
      </c>
      <c r="C80" s="188" t="s">
        <v>530</v>
      </c>
      <c r="D80" s="139">
        <v>-3.53</v>
      </c>
      <c r="E80" s="140">
        <v>-0.14000000000000001</v>
      </c>
      <c r="F80" s="141">
        <v>-2.3E-2</v>
      </c>
      <c r="G80" s="176">
        <v>0</v>
      </c>
      <c r="H80" s="177"/>
      <c r="I80" s="181"/>
      <c r="J80" s="32"/>
    </row>
    <row r="81" spans="1:10" ht="27.75" customHeight="1" x14ac:dyDescent="0.2">
      <c r="A81" s="175" t="s">
        <v>479</v>
      </c>
      <c r="B81" s="30" t="s">
        <v>1738</v>
      </c>
      <c r="C81" s="188">
        <v>0</v>
      </c>
      <c r="D81" s="139">
        <v>-3.5059999999999998</v>
      </c>
      <c r="E81" s="140">
        <v>-0.13500000000000001</v>
      </c>
      <c r="F81" s="141">
        <v>-2.1000000000000001E-2</v>
      </c>
      <c r="G81" s="176">
        <v>0</v>
      </c>
      <c r="H81" s="177"/>
      <c r="I81" s="181"/>
      <c r="J81" s="32"/>
    </row>
    <row r="82" spans="1:10" ht="27.75" customHeight="1" x14ac:dyDescent="0.2">
      <c r="A82" s="175" t="s">
        <v>480</v>
      </c>
      <c r="B82" s="30" t="s">
        <v>1739</v>
      </c>
      <c r="C82" s="188" t="s">
        <v>531</v>
      </c>
      <c r="D82" s="139">
        <v>-3.53</v>
      </c>
      <c r="E82" s="140">
        <v>-0.14000000000000001</v>
      </c>
      <c r="F82" s="141">
        <v>-2.3E-2</v>
      </c>
      <c r="G82" s="176">
        <v>0</v>
      </c>
      <c r="H82" s="177"/>
      <c r="I82" s="181"/>
      <c r="J82" s="31">
        <v>0.10199999999999999</v>
      </c>
    </row>
    <row r="83" spans="1:10" ht="27.75" customHeight="1" x14ac:dyDescent="0.2">
      <c r="A83" s="175" t="s">
        <v>481</v>
      </c>
      <c r="B83" s="30" t="s">
        <v>1740</v>
      </c>
      <c r="C83" s="188" t="s">
        <v>531</v>
      </c>
      <c r="D83" s="139">
        <v>-3.5059999999999998</v>
      </c>
      <c r="E83" s="140">
        <v>-0.13500000000000001</v>
      </c>
      <c r="F83" s="141">
        <v>-2.1000000000000001E-2</v>
      </c>
      <c r="G83" s="176">
        <v>0</v>
      </c>
      <c r="H83" s="177"/>
      <c r="I83" s="181"/>
      <c r="J83" s="31">
        <v>0.10299999999999999</v>
      </c>
    </row>
    <row r="84" spans="1:10" ht="27.75" customHeight="1" x14ac:dyDescent="0.2">
      <c r="A84" s="175" t="s">
        <v>482</v>
      </c>
      <c r="B84" s="30" t="s">
        <v>1741</v>
      </c>
      <c r="C84" s="188" t="s">
        <v>531</v>
      </c>
      <c r="D84" s="139">
        <v>-3.911</v>
      </c>
      <c r="E84" s="140">
        <v>-0.128</v>
      </c>
      <c r="F84" s="141">
        <v>-1.7999999999999999E-2</v>
      </c>
      <c r="G84" s="176">
        <v>6.37</v>
      </c>
      <c r="H84" s="177"/>
      <c r="I84" s="181"/>
      <c r="J84" s="31">
        <v>0.13300000000000001</v>
      </c>
    </row>
    <row r="85" spans="1:10" ht="27.75" customHeight="1" x14ac:dyDescent="0.2">
      <c r="A85" s="175" t="s">
        <v>483</v>
      </c>
      <c r="B85" s="30" t="s">
        <v>1742</v>
      </c>
      <c r="C85" s="188" t="s">
        <v>527</v>
      </c>
      <c r="D85" s="139">
        <v>3.0779999999999998</v>
      </c>
      <c r="E85" s="140">
        <v>0.22</v>
      </c>
      <c r="F85" s="141">
        <v>0.121</v>
      </c>
      <c r="G85" s="176">
        <v>0.89</v>
      </c>
      <c r="H85" s="177"/>
      <c r="I85" s="181"/>
      <c r="J85" s="32"/>
    </row>
    <row r="86" spans="1:10" ht="27.75" customHeight="1" x14ac:dyDescent="0.2">
      <c r="A86" s="175" t="s">
        <v>484</v>
      </c>
      <c r="B86" s="30" t="s">
        <v>1743</v>
      </c>
      <c r="C86" s="188" t="s">
        <v>420</v>
      </c>
      <c r="D86" s="139">
        <v>3.0779999999999998</v>
      </c>
      <c r="E86" s="140">
        <v>0.22</v>
      </c>
      <c r="F86" s="141">
        <v>0.121</v>
      </c>
      <c r="G86" s="177"/>
      <c r="H86" s="177"/>
      <c r="I86" s="181"/>
      <c r="J86" s="32"/>
    </row>
    <row r="87" spans="1:10" ht="27.75" customHeight="1" x14ac:dyDescent="0.2">
      <c r="A87" s="175" t="s">
        <v>485</v>
      </c>
      <c r="B87" s="30" t="s">
        <v>1744</v>
      </c>
      <c r="C87" s="188" t="s">
        <v>528</v>
      </c>
      <c r="D87" s="139">
        <v>2.4089999999999998</v>
      </c>
      <c r="E87" s="140">
        <v>0.19400000000000001</v>
      </c>
      <c r="F87" s="141">
        <v>0.11700000000000001</v>
      </c>
      <c r="G87" s="176">
        <v>0.91</v>
      </c>
      <c r="H87" s="177"/>
      <c r="I87" s="181"/>
      <c r="J87" s="32"/>
    </row>
    <row r="88" spans="1:10" ht="27.75" customHeight="1" x14ac:dyDescent="0.2">
      <c r="A88" s="175" t="s">
        <v>486</v>
      </c>
      <c r="B88" s="30" t="s">
        <v>1745</v>
      </c>
      <c r="C88" s="188" t="s">
        <v>421</v>
      </c>
      <c r="D88" s="139">
        <v>2.4089999999999998</v>
      </c>
      <c r="E88" s="140">
        <v>0.19400000000000001</v>
      </c>
      <c r="F88" s="141">
        <v>0.11700000000000001</v>
      </c>
      <c r="G88" s="177"/>
      <c r="H88" s="177"/>
      <c r="I88" s="181"/>
      <c r="J88" s="32"/>
    </row>
    <row r="89" spans="1:10" ht="27.75" customHeight="1" x14ac:dyDescent="0.2">
      <c r="A89" s="175" t="s">
        <v>487</v>
      </c>
      <c r="B89" s="30" t="s">
        <v>1746</v>
      </c>
      <c r="C89" s="188" t="s">
        <v>531</v>
      </c>
      <c r="D89" s="139">
        <v>1.659</v>
      </c>
      <c r="E89" s="140">
        <v>0.161</v>
      </c>
      <c r="F89" s="141">
        <v>0.111</v>
      </c>
      <c r="G89" s="176">
        <v>2.2200000000000002</v>
      </c>
      <c r="H89" s="176">
        <v>0.67</v>
      </c>
      <c r="I89" s="182">
        <v>1.3</v>
      </c>
      <c r="J89" s="31">
        <v>0.05</v>
      </c>
    </row>
    <row r="90" spans="1:10" ht="27.75" customHeight="1" x14ac:dyDescent="0.2">
      <c r="A90" s="175" t="s">
        <v>488</v>
      </c>
      <c r="B90" s="30" t="s">
        <v>1747</v>
      </c>
      <c r="C90" s="188" t="s">
        <v>531</v>
      </c>
      <c r="D90" s="139">
        <v>1.583</v>
      </c>
      <c r="E90" s="140">
        <v>0.19900000000000001</v>
      </c>
      <c r="F90" s="141">
        <v>0.158</v>
      </c>
      <c r="G90" s="176">
        <v>2.41</v>
      </c>
      <c r="H90" s="176">
        <v>1.54</v>
      </c>
      <c r="I90" s="182">
        <v>2.0099999999999998</v>
      </c>
      <c r="J90" s="31">
        <v>4.3999999999999997E-2</v>
      </c>
    </row>
    <row r="91" spans="1:10" ht="27.75" customHeight="1" x14ac:dyDescent="0.2">
      <c r="A91" s="175" t="s">
        <v>489</v>
      </c>
      <c r="B91" s="30" t="s">
        <v>1748</v>
      </c>
      <c r="C91" s="188" t="s">
        <v>531</v>
      </c>
      <c r="D91" s="139">
        <v>1.647</v>
      </c>
      <c r="E91" s="140">
        <v>0.214</v>
      </c>
      <c r="F91" s="141">
        <v>0.17499999999999999</v>
      </c>
      <c r="G91" s="176">
        <v>33.58</v>
      </c>
      <c r="H91" s="176">
        <v>1.29</v>
      </c>
      <c r="I91" s="182">
        <v>2</v>
      </c>
      <c r="J91" s="31">
        <v>4.5999999999999999E-2</v>
      </c>
    </row>
    <row r="92" spans="1:10" ht="27.75" customHeight="1" x14ac:dyDescent="0.2">
      <c r="A92" s="175" t="s">
        <v>1484</v>
      </c>
      <c r="B92" s="30" t="s">
        <v>1749</v>
      </c>
      <c r="C92" s="188">
        <v>0</v>
      </c>
      <c r="D92" s="139">
        <v>1.5569999999999999</v>
      </c>
      <c r="E92" s="140">
        <v>5.8999999999999997E-2</v>
      </c>
      <c r="F92" s="141">
        <v>8.9999999999999993E-3</v>
      </c>
      <c r="G92" s="176">
        <v>2.2200000000000002</v>
      </c>
      <c r="H92" s="176">
        <v>0.67</v>
      </c>
      <c r="I92" s="182">
        <v>1.3</v>
      </c>
      <c r="J92" s="31">
        <v>0.05</v>
      </c>
    </row>
    <row r="93" spans="1:10" ht="27.75" customHeight="1" x14ac:dyDescent="0.2">
      <c r="A93" s="175" t="s">
        <v>1485</v>
      </c>
      <c r="B93" s="30" t="s">
        <v>1750</v>
      </c>
      <c r="C93" s="188">
        <v>0</v>
      </c>
      <c r="D93" s="139">
        <v>1.4319999999999999</v>
      </c>
      <c r="E93" s="140">
        <v>4.8000000000000001E-2</v>
      </c>
      <c r="F93" s="141">
        <v>7.0000000000000001E-3</v>
      </c>
      <c r="G93" s="176">
        <v>2.41</v>
      </c>
      <c r="H93" s="176">
        <v>1.54</v>
      </c>
      <c r="I93" s="182">
        <v>2.0099999999999998</v>
      </c>
      <c r="J93" s="31">
        <v>4.3999999999999997E-2</v>
      </c>
    </row>
    <row r="94" spans="1:10" ht="27.75" customHeight="1" x14ac:dyDescent="0.2">
      <c r="A94" s="175" t="s">
        <v>1486</v>
      </c>
      <c r="B94" s="30" t="s">
        <v>1751</v>
      </c>
      <c r="C94" s="188">
        <v>0</v>
      </c>
      <c r="D94" s="139">
        <v>1.478</v>
      </c>
      <c r="E94" s="140">
        <v>4.5999999999999999E-2</v>
      </c>
      <c r="F94" s="141">
        <v>6.0000000000000001E-3</v>
      </c>
      <c r="G94" s="176">
        <v>33.58</v>
      </c>
      <c r="H94" s="176">
        <v>1.29</v>
      </c>
      <c r="I94" s="182">
        <v>2</v>
      </c>
      <c r="J94" s="31">
        <v>4.5999999999999999E-2</v>
      </c>
    </row>
    <row r="95" spans="1:10" ht="27.75" customHeight="1" x14ac:dyDescent="0.2">
      <c r="A95" s="175" t="s">
        <v>490</v>
      </c>
      <c r="B95" s="30" t="s">
        <v>1752</v>
      </c>
      <c r="C95" s="188" t="s">
        <v>529</v>
      </c>
      <c r="D95" s="142">
        <v>7.3540000000000001</v>
      </c>
      <c r="E95" s="143">
        <v>0.32600000000000001</v>
      </c>
      <c r="F95" s="141">
        <v>0.24</v>
      </c>
      <c r="G95" s="177"/>
      <c r="H95" s="177"/>
      <c r="I95" s="181"/>
      <c r="J95" s="32"/>
    </row>
    <row r="96" spans="1:10" ht="27.75" customHeight="1" x14ac:dyDescent="0.2">
      <c r="A96" s="175" t="s">
        <v>491</v>
      </c>
      <c r="B96" s="30" t="s">
        <v>1753</v>
      </c>
      <c r="C96" s="188" t="s">
        <v>530</v>
      </c>
      <c r="D96" s="139">
        <v>-2.5070000000000001</v>
      </c>
      <c r="E96" s="140">
        <v>-0.1</v>
      </c>
      <c r="F96" s="141">
        <v>-1.6E-2</v>
      </c>
      <c r="G96" s="176">
        <v>0</v>
      </c>
      <c r="H96" s="177"/>
      <c r="I96" s="181"/>
      <c r="J96" s="32"/>
    </row>
    <row r="97" spans="1:10" ht="27.75" customHeight="1" x14ac:dyDescent="0.2">
      <c r="A97" s="175" t="s">
        <v>492</v>
      </c>
      <c r="B97" s="30" t="s">
        <v>1754</v>
      </c>
      <c r="C97" s="188">
        <v>0</v>
      </c>
      <c r="D97" s="139">
        <v>-2.4900000000000002</v>
      </c>
      <c r="E97" s="140">
        <v>-9.6000000000000002E-2</v>
      </c>
      <c r="F97" s="141">
        <v>-1.4999999999999999E-2</v>
      </c>
      <c r="G97" s="176">
        <v>0</v>
      </c>
      <c r="H97" s="177"/>
      <c r="I97" s="181"/>
      <c r="J97" s="32"/>
    </row>
    <row r="98" spans="1:10" ht="27.75" customHeight="1" x14ac:dyDescent="0.2">
      <c r="A98" s="175" t="s">
        <v>493</v>
      </c>
      <c r="B98" s="30" t="s">
        <v>1755</v>
      </c>
      <c r="C98" s="188" t="s">
        <v>531</v>
      </c>
      <c r="D98" s="139">
        <v>-2.5070000000000001</v>
      </c>
      <c r="E98" s="140">
        <v>-0.1</v>
      </c>
      <c r="F98" s="141">
        <v>-1.6E-2</v>
      </c>
      <c r="G98" s="176">
        <v>0</v>
      </c>
      <c r="H98" s="177"/>
      <c r="I98" s="181"/>
      <c r="J98" s="31">
        <v>7.1999999999999995E-2</v>
      </c>
    </row>
    <row r="99" spans="1:10" ht="27.75" customHeight="1" x14ac:dyDescent="0.2">
      <c r="A99" s="175" t="s">
        <v>494</v>
      </c>
      <c r="B99" s="30" t="s">
        <v>1756</v>
      </c>
      <c r="C99" s="188" t="s">
        <v>531</v>
      </c>
      <c r="D99" s="139">
        <v>-2.4900000000000002</v>
      </c>
      <c r="E99" s="140">
        <v>-9.6000000000000002E-2</v>
      </c>
      <c r="F99" s="141">
        <v>-1.4999999999999999E-2</v>
      </c>
      <c r="G99" s="176">
        <v>0</v>
      </c>
      <c r="H99" s="177"/>
      <c r="I99" s="181"/>
      <c r="J99" s="31">
        <v>7.2999999999999995E-2</v>
      </c>
    </row>
    <row r="100" spans="1:10" ht="27.75" customHeight="1" x14ac:dyDescent="0.2">
      <c r="A100" s="175" t="s">
        <v>495</v>
      </c>
      <c r="B100" s="30" t="s">
        <v>1757</v>
      </c>
      <c r="C100" s="188" t="s">
        <v>531</v>
      </c>
      <c r="D100" s="139">
        <v>-2.778</v>
      </c>
      <c r="E100" s="140">
        <v>-9.0999999999999998E-2</v>
      </c>
      <c r="F100" s="141">
        <v>-1.2999999999999999E-2</v>
      </c>
      <c r="G100" s="176">
        <v>4.5199999999999996</v>
      </c>
      <c r="H100" s="177"/>
      <c r="I100" s="181"/>
      <c r="J100" s="31">
        <v>9.4E-2</v>
      </c>
    </row>
    <row r="101" spans="1:10" ht="27.75" customHeight="1" x14ac:dyDescent="0.2">
      <c r="A101" s="175" t="s">
        <v>496</v>
      </c>
      <c r="B101" s="30" t="s">
        <v>1758</v>
      </c>
      <c r="C101" s="188" t="s">
        <v>527</v>
      </c>
      <c r="D101" s="139">
        <v>1.1240000000000001</v>
      </c>
      <c r="E101" s="140">
        <v>0.08</v>
      </c>
      <c r="F101" s="141">
        <v>4.3999999999999997E-2</v>
      </c>
      <c r="G101" s="176">
        <v>0.45</v>
      </c>
      <c r="H101" s="177"/>
      <c r="I101" s="181"/>
      <c r="J101" s="32"/>
    </row>
    <row r="102" spans="1:10" ht="27.75" customHeight="1" x14ac:dyDescent="0.2">
      <c r="A102" s="175" t="s">
        <v>497</v>
      </c>
      <c r="B102" s="30" t="s">
        <v>1759</v>
      </c>
      <c r="C102" s="188" t="s">
        <v>420</v>
      </c>
      <c r="D102" s="139">
        <v>1.1240000000000001</v>
      </c>
      <c r="E102" s="140">
        <v>0.08</v>
      </c>
      <c r="F102" s="141">
        <v>4.3999999999999997E-2</v>
      </c>
      <c r="G102" s="177"/>
      <c r="H102" s="177"/>
      <c r="I102" s="181"/>
      <c r="J102" s="32"/>
    </row>
    <row r="103" spans="1:10" ht="27.75" customHeight="1" x14ac:dyDescent="0.2">
      <c r="A103" s="175" t="s">
        <v>498</v>
      </c>
      <c r="B103" s="30" t="s">
        <v>1760</v>
      </c>
      <c r="C103" s="188" t="s">
        <v>528</v>
      </c>
      <c r="D103" s="139">
        <v>0.88</v>
      </c>
      <c r="E103" s="140">
        <v>7.0999999999999994E-2</v>
      </c>
      <c r="F103" s="141">
        <v>4.2999999999999997E-2</v>
      </c>
      <c r="G103" s="176">
        <v>0.45</v>
      </c>
      <c r="H103" s="177"/>
      <c r="I103" s="181"/>
      <c r="J103" s="32"/>
    </row>
    <row r="104" spans="1:10" ht="27.75" customHeight="1" x14ac:dyDescent="0.2">
      <c r="A104" s="175" t="s">
        <v>499</v>
      </c>
      <c r="B104" s="30" t="s">
        <v>1761</v>
      </c>
      <c r="C104" s="188" t="s">
        <v>421</v>
      </c>
      <c r="D104" s="139">
        <v>0.88</v>
      </c>
      <c r="E104" s="140">
        <v>7.0999999999999994E-2</v>
      </c>
      <c r="F104" s="141">
        <v>4.2999999999999997E-2</v>
      </c>
      <c r="G104" s="177"/>
      <c r="H104" s="177"/>
      <c r="I104" s="181"/>
      <c r="J104" s="32"/>
    </row>
    <row r="105" spans="1:10" ht="27.75" customHeight="1" x14ac:dyDescent="0.2">
      <c r="A105" s="175" t="s">
        <v>500</v>
      </c>
      <c r="B105" s="30" t="s">
        <v>1762</v>
      </c>
      <c r="C105" s="188" t="s">
        <v>531</v>
      </c>
      <c r="D105" s="139">
        <v>0.60599999999999998</v>
      </c>
      <c r="E105" s="140">
        <v>5.8999999999999997E-2</v>
      </c>
      <c r="F105" s="141">
        <v>4.1000000000000002E-2</v>
      </c>
      <c r="G105" s="176">
        <v>0.93</v>
      </c>
      <c r="H105" s="176">
        <v>0.24</v>
      </c>
      <c r="I105" s="182">
        <v>0.47</v>
      </c>
      <c r="J105" s="31">
        <v>1.7999999999999999E-2</v>
      </c>
    </row>
    <row r="106" spans="1:10" ht="27.75" customHeight="1" x14ac:dyDescent="0.2">
      <c r="A106" s="175" t="s">
        <v>501</v>
      </c>
      <c r="B106" s="30" t="s">
        <v>1763</v>
      </c>
      <c r="C106" s="188" t="s">
        <v>531</v>
      </c>
      <c r="D106" s="139">
        <v>0.57799999999999996</v>
      </c>
      <c r="E106" s="140">
        <v>7.2999999999999995E-2</v>
      </c>
      <c r="F106" s="141">
        <v>5.8000000000000003E-2</v>
      </c>
      <c r="G106" s="176">
        <v>1</v>
      </c>
      <c r="H106" s="176">
        <v>0.56000000000000005</v>
      </c>
      <c r="I106" s="182">
        <v>0.73</v>
      </c>
      <c r="J106" s="31">
        <v>1.6E-2</v>
      </c>
    </row>
    <row r="107" spans="1:10" ht="27.75" customHeight="1" x14ac:dyDescent="0.2">
      <c r="A107" s="175" t="s">
        <v>502</v>
      </c>
      <c r="B107" s="30" t="s">
        <v>1764</v>
      </c>
      <c r="C107" s="188" t="s">
        <v>531</v>
      </c>
      <c r="D107" s="139">
        <v>0.60099999999999998</v>
      </c>
      <c r="E107" s="140">
        <v>7.8E-2</v>
      </c>
      <c r="F107" s="141">
        <v>6.4000000000000001E-2</v>
      </c>
      <c r="G107" s="176">
        <v>12.38</v>
      </c>
      <c r="H107" s="176">
        <v>0.47</v>
      </c>
      <c r="I107" s="182">
        <v>0.73</v>
      </c>
      <c r="J107" s="31">
        <v>1.7000000000000001E-2</v>
      </c>
    </row>
    <row r="108" spans="1:10" ht="27.75" customHeight="1" x14ac:dyDescent="0.2">
      <c r="A108" s="175" t="s">
        <v>1487</v>
      </c>
      <c r="B108" s="30" t="s">
        <v>1765</v>
      </c>
      <c r="C108" s="188">
        <v>0</v>
      </c>
      <c r="D108" s="139">
        <v>0.56799999999999995</v>
      </c>
      <c r="E108" s="140">
        <v>2.1000000000000001E-2</v>
      </c>
      <c r="F108" s="141">
        <v>3.0000000000000001E-3</v>
      </c>
      <c r="G108" s="176">
        <v>0.93</v>
      </c>
      <c r="H108" s="176">
        <v>0.24</v>
      </c>
      <c r="I108" s="182">
        <v>0.47</v>
      </c>
      <c r="J108" s="31">
        <v>1.7999999999999999E-2</v>
      </c>
    </row>
    <row r="109" spans="1:10" ht="27.75" customHeight="1" x14ac:dyDescent="0.2">
      <c r="A109" s="175" t="s">
        <v>1488</v>
      </c>
      <c r="B109" s="30" t="s">
        <v>1766</v>
      </c>
      <c r="C109" s="188">
        <v>0</v>
      </c>
      <c r="D109" s="139">
        <v>0.52300000000000002</v>
      </c>
      <c r="E109" s="140">
        <v>1.7000000000000001E-2</v>
      </c>
      <c r="F109" s="141">
        <v>2E-3</v>
      </c>
      <c r="G109" s="176">
        <v>1</v>
      </c>
      <c r="H109" s="176">
        <v>0.56000000000000005</v>
      </c>
      <c r="I109" s="182">
        <v>0.73</v>
      </c>
      <c r="J109" s="31">
        <v>1.6E-2</v>
      </c>
    </row>
    <row r="110" spans="1:10" ht="27.75" customHeight="1" x14ac:dyDescent="0.2">
      <c r="A110" s="175" t="s">
        <v>1489</v>
      </c>
      <c r="B110" s="30" t="s">
        <v>1767</v>
      </c>
      <c r="C110" s="188">
        <v>0</v>
      </c>
      <c r="D110" s="139">
        <v>0.54</v>
      </c>
      <c r="E110" s="140">
        <v>1.7000000000000001E-2</v>
      </c>
      <c r="F110" s="141">
        <v>2E-3</v>
      </c>
      <c r="G110" s="176">
        <v>12.38</v>
      </c>
      <c r="H110" s="176">
        <v>0.47</v>
      </c>
      <c r="I110" s="182">
        <v>0.73</v>
      </c>
      <c r="J110" s="31">
        <v>1.7000000000000001E-2</v>
      </c>
    </row>
    <row r="111" spans="1:10" ht="27.75" customHeight="1" x14ac:dyDescent="0.2">
      <c r="A111" s="175" t="s">
        <v>503</v>
      </c>
      <c r="B111" s="30" t="s">
        <v>1768</v>
      </c>
      <c r="C111" s="188" t="s">
        <v>529</v>
      </c>
      <c r="D111" s="142">
        <v>2.6850000000000001</v>
      </c>
      <c r="E111" s="143">
        <v>0.11899999999999999</v>
      </c>
      <c r="F111" s="141">
        <v>8.7999999999999995E-2</v>
      </c>
      <c r="G111" s="177"/>
      <c r="H111" s="177"/>
      <c r="I111" s="181"/>
      <c r="J111" s="32"/>
    </row>
    <row r="112" spans="1:10" ht="27.75" customHeight="1" x14ac:dyDescent="0.2">
      <c r="A112" s="175" t="s">
        <v>504</v>
      </c>
      <c r="B112" s="30" t="s">
        <v>1769</v>
      </c>
      <c r="C112" s="188" t="s">
        <v>530</v>
      </c>
      <c r="D112" s="139">
        <v>-0.91500000000000004</v>
      </c>
      <c r="E112" s="140">
        <v>-3.5999999999999997E-2</v>
      </c>
      <c r="F112" s="141">
        <v>-6.0000000000000001E-3</v>
      </c>
      <c r="G112" s="176">
        <v>0</v>
      </c>
      <c r="H112" s="177"/>
      <c r="I112" s="181"/>
      <c r="J112" s="32"/>
    </row>
    <row r="113" spans="1:10" ht="27.75" customHeight="1" x14ac:dyDescent="0.2">
      <c r="A113" s="175" t="s">
        <v>505</v>
      </c>
      <c r="B113" s="30" t="s">
        <v>1770</v>
      </c>
      <c r="C113" s="188">
        <v>0</v>
      </c>
      <c r="D113" s="139">
        <v>-0.90900000000000003</v>
      </c>
      <c r="E113" s="140">
        <v>-3.5000000000000003E-2</v>
      </c>
      <c r="F113" s="141">
        <v>-6.0000000000000001E-3</v>
      </c>
      <c r="G113" s="176">
        <v>0</v>
      </c>
      <c r="H113" s="177"/>
      <c r="I113" s="181"/>
      <c r="J113" s="32"/>
    </row>
    <row r="114" spans="1:10" ht="27.75" customHeight="1" x14ac:dyDescent="0.2">
      <c r="A114" s="175" t="s">
        <v>506</v>
      </c>
      <c r="B114" s="30" t="s">
        <v>1771</v>
      </c>
      <c r="C114" s="188" t="s">
        <v>531</v>
      </c>
      <c r="D114" s="139">
        <v>-0.91500000000000004</v>
      </c>
      <c r="E114" s="140">
        <v>-3.5999999999999997E-2</v>
      </c>
      <c r="F114" s="141">
        <v>-6.0000000000000001E-3</v>
      </c>
      <c r="G114" s="176">
        <v>0</v>
      </c>
      <c r="H114" s="177"/>
      <c r="I114" s="181"/>
      <c r="J114" s="31">
        <v>2.5999999999999999E-2</v>
      </c>
    </row>
    <row r="115" spans="1:10" ht="27.75" customHeight="1" x14ac:dyDescent="0.2">
      <c r="A115" s="175" t="s">
        <v>507</v>
      </c>
      <c r="B115" s="30" t="s">
        <v>1772</v>
      </c>
      <c r="C115" s="188" t="s">
        <v>531</v>
      </c>
      <c r="D115" s="139">
        <v>-0.90900000000000003</v>
      </c>
      <c r="E115" s="140">
        <v>-3.5000000000000003E-2</v>
      </c>
      <c r="F115" s="141">
        <v>-6.0000000000000001E-3</v>
      </c>
      <c r="G115" s="176">
        <v>0</v>
      </c>
      <c r="H115" s="177"/>
      <c r="I115" s="181"/>
      <c r="J115" s="31">
        <v>2.7E-2</v>
      </c>
    </row>
    <row r="116" spans="1:10" ht="27.75" customHeight="1" x14ac:dyDescent="0.2">
      <c r="A116" s="175" t="s">
        <v>508</v>
      </c>
      <c r="B116" s="30" t="s">
        <v>1773</v>
      </c>
      <c r="C116" s="188" t="s">
        <v>531</v>
      </c>
      <c r="D116" s="139">
        <v>-1.014</v>
      </c>
      <c r="E116" s="140">
        <v>-3.3000000000000002E-2</v>
      </c>
      <c r="F116" s="141">
        <v>-5.0000000000000001E-3</v>
      </c>
      <c r="G116" s="176">
        <v>1.65</v>
      </c>
      <c r="H116" s="177"/>
      <c r="I116" s="181"/>
      <c r="J116" s="31">
        <v>3.4000000000000002E-2</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2">
    <mergeCell ref="H9:J9"/>
    <mergeCell ref="F9:G9"/>
    <mergeCell ref="B8:D8"/>
    <mergeCell ref="A4:D4"/>
    <mergeCell ref="F6:G6"/>
    <mergeCell ref="F7:G7"/>
    <mergeCell ref="F8:G8"/>
    <mergeCell ref="B1:D1"/>
    <mergeCell ref="F1:H1"/>
    <mergeCell ref="A2:J2"/>
    <mergeCell ref="F4:J4"/>
    <mergeCell ref="F5:G5"/>
  </mergeCells>
  <phoneticPr fontId="5"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3" fitToHeight="0" orientation="portrait" r:id="rId2"/>
  <headerFooter differentFirst="1" scaleWithDoc="0">
    <oddFooter>&amp;R&amp;P of &amp;N</oddFooter>
    <firstHeader>&amp;L
Annex 4 - Charges applied to LDNOs with HV/LV end users</firstHeader>
    <firstFooter>&amp;R&amp;P of &amp;N</firstFooter>
  </headerFooter>
  <rowBreaks count="1" manualBreakCount="1">
    <brk id="56" max="9"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XFD193"/>
  <sheetViews>
    <sheetView topLeftCell="A174" zoomScale="80" zoomScaleNormal="80" zoomScaleSheetLayoutView="100" workbookViewId="0">
      <selection activeCell="A194" sqref="A194"/>
    </sheetView>
  </sheetViews>
  <sheetFormatPr defaultRowHeight="12.75" x14ac:dyDescent="0.2"/>
  <cols>
    <col min="1" max="6" width="24" customWidth="1"/>
    <col min="7" max="7" width="19.85546875" customWidth="1"/>
  </cols>
  <sheetData>
    <row r="1" spans="1:16384" s="2" customFormat="1" ht="27.75" customHeight="1" x14ac:dyDescent="0.2">
      <c r="A1" s="136" t="s">
        <v>18</v>
      </c>
      <c r="B1"/>
      <c r="C1" s="135"/>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86" t="s">
        <v>1657</v>
      </c>
      <c r="B2" s="286"/>
      <c r="C2" s="286"/>
      <c r="D2" s="286"/>
      <c r="E2" s="286"/>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61" t="str">
        <f>Overview!B4&amp; " - Illustrative LLFs for year beginning "&amp;Overview!D4</f>
        <v>South Eastern Power Networks - Illustrative LLFs for year beginning 1 April 2021</v>
      </c>
      <c r="B3" s="262"/>
      <c r="C3" s="262"/>
      <c r="D3" s="262"/>
      <c r="E3" s="262"/>
      <c r="F3" s="262"/>
      <c r="G3" s="263"/>
    </row>
    <row r="4" spans="1:16384" ht="19.5" customHeight="1" x14ac:dyDescent="0.2">
      <c r="A4" s="287" t="s">
        <v>12</v>
      </c>
      <c r="B4" s="287"/>
      <c r="C4" s="20" t="s">
        <v>4</v>
      </c>
      <c r="D4" s="20" t="s">
        <v>5</v>
      </c>
      <c r="E4" s="20" t="s">
        <v>6</v>
      </c>
      <c r="F4" s="20" t="s">
        <v>7</v>
      </c>
      <c r="G4" s="20" t="s">
        <v>544</v>
      </c>
    </row>
    <row r="5" spans="1:16384" ht="19.5" customHeight="1" x14ac:dyDescent="0.2">
      <c r="A5" s="287"/>
      <c r="B5" s="287"/>
      <c r="C5" s="20" t="s">
        <v>545</v>
      </c>
      <c r="D5" s="20" t="s">
        <v>546</v>
      </c>
      <c r="E5" s="20" t="s">
        <v>547</v>
      </c>
      <c r="F5" s="20" t="s">
        <v>548</v>
      </c>
      <c r="G5" s="20" t="s">
        <v>549</v>
      </c>
    </row>
    <row r="6" spans="1:16384" ht="45" customHeight="1" x14ac:dyDescent="0.2">
      <c r="A6" s="251" t="s">
        <v>550</v>
      </c>
      <c r="B6" s="251"/>
      <c r="C6" s="21" t="s">
        <v>551</v>
      </c>
      <c r="D6" s="187"/>
      <c r="E6" s="75" t="s">
        <v>552</v>
      </c>
      <c r="F6" s="187"/>
      <c r="G6" s="187"/>
    </row>
    <row r="7" spans="1:16384" ht="45" customHeight="1" x14ac:dyDescent="0.2">
      <c r="A7" s="251" t="s">
        <v>553</v>
      </c>
      <c r="B7" s="251"/>
      <c r="C7" s="187"/>
      <c r="D7" s="21" t="s">
        <v>554</v>
      </c>
      <c r="E7" s="187"/>
      <c r="F7" s="187"/>
      <c r="G7" s="187"/>
    </row>
    <row r="8" spans="1:16384" ht="45" customHeight="1" x14ac:dyDescent="0.2">
      <c r="A8" s="251" t="s">
        <v>555</v>
      </c>
      <c r="B8" s="251"/>
      <c r="C8" s="187"/>
      <c r="D8" s="187"/>
      <c r="E8" s="21" t="s">
        <v>554</v>
      </c>
      <c r="F8" s="187"/>
      <c r="G8" s="187"/>
    </row>
    <row r="9" spans="1:16384" ht="25.5" customHeight="1" x14ac:dyDescent="0.2">
      <c r="A9" s="251" t="s">
        <v>556</v>
      </c>
      <c r="B9" s="251"/>
      <c r="C9" s="187"/>
      <c r="D9" s="187"/>
      <c r="E9" s="187"/>
      <c r="F9" s="75" t="s">
        <v>557</v>
      </c>
      <c r="G9" s="75" t="s">
        <v>558</v>
      </c>
    </row>
    <row r="10" spans="1:16384" s="12" customFormat="1" x14ac:dyDescent="0.2">
      <c r="A10" s="251" t="s">
        <v>13</v>
      </c>
      <c r="B10" s="251"/>
      <c r="C10" s="237" t="s">
        <v>539</v>
      </c>
      <c r="D10" s="253"/>
      <c r="E10" s="253"/>
      <c r="F10" s="253"/>
      <c r="G10" s="238"/>
    </row>
    <row r="11" spans="1:16384" x14ac:dyDescent="0.2">
      <c r="B11" s="11"/>
      <c r="C11" s="11"/>
      <c r="D11" s="11"/>
      <c r="E11" s="11"/>
    </row>
    <row r="12" spans="1:16384" ht="22.5" customHeight="1" x14ac:dyDescent="0.2">
      <c r="A12" s="249" t="s">
        <v>42</v>
      </c>
      <c r="B12" s="291"/>
      <c r="C12" s="291"/>
      <c r="D12" s="291"/>
      <c r="E12" s="291"/>
      <c r="F12" s="291"/>
      <c r="G12" s="250"/>
    </row>
    <row r="13" spans="1:16384" ht="22.5" customHeight="1" x14ac:dyDescent="0.2">
      <c r="A13" s="249" t="s">
        <v>3</v>
      </c>
      <c r="B13" s="291"/>
      <c r="C13" s="291"/>
      <c r="D13" s="291"/>
      <c r="E13" s="291"/>
      <c r="F13" s="291"/>
      <c r="G13" s="250"/>
    </row>
    <row r="14" spans="1:16384" ht="33" customHeight="1" x14ac:dyDescent="0.2">
      <c r="A14" s="20" t="s">
        <v>43</v>
      </c>
      <c r="B14" s="20" t="s">
        <v>4</v>
      </c>
      <c r="C14" s="20" t="s">
        <v>5</v>
      </c>
      <c r="D14" s="20" t="s">
        <v>6</v>
      </c>
      <c r="E14" s="20" t="s">
        <v>7</v>
      </c>
      <c r="F14" s="20" t="s">
        <v>544</v>
      </c>
      <c r="G14" s="20" t="s">
        <v>8</v>
      </c>
    </row>
    <row r="15" spans="1:16384" ht="148.5" customHeight="1" x14ac:dyDescent="0.2">
      <c r="A15" s="1" t="s">
        <v>44</v>
      </c>
      <c r="B15" s="212">
        <v>1.0980000000000001</v>
      </c>
      <c r="C15" s="212">
        <v>1.0740000000000001</v>
      </c>
      <c r="D15" s="212">
        <v>1.087</v>
      </c>
      <c r="E15" s="212">
        <v>1.0669999999999999</v>
      </c>
      <c r="F15" s="212">
        <v>1.0780000000000001</v>
      </c>
      <c r="G15" s="1" t="s">
        <v>1658</v>
      </c>
    </row>
    <row r="16" spans="1:16384" ht="46.5" customHeight="1" x14ac:dyDescent="0.2">
      <c r="A16" s="1" t="s">
        <v>45</v>
      </c>
      <c r="B16" s="212">
        <v>1.073</v>
      </c>
      <c r="C16" s="212">
        <v>1.0569999999999999</v>
      </c>
      <c r="D16" s="212">
        <v>1.0660000000000001</v>
      </c>
      <c r="E16" s="212">
        <v>1.052</v>
      </c>
      <c r="F16" s="212">
        <v>1.0589999999999999</v>
      </c>
      <c r="G16" s="1" t="s">
        <v>1659</v>
      </c>
    </row>
    <row r="17" spans="1:7" ht="40.5" customHeight="1" x14ac:dyDescent="0.2">
      <c r="A17" s="1" t="s">
        <v>46</v>
      </c>
      <c r="B17" s="212">
        <v>1.0569999999999999</v>
      </c>
      <c r="C17" s="212">
        <v>1.042</v>
      </c>
      <c r="D17" s="212">
        <v>1.0509999999999999</v>
      </c>
      <c r="E17" s="212">
        <v>1.036</v>
      </c>
      <c r="F17" s="212">
        <v>1.044</v>
      </c>
      <c r="G17" s="1" t="s">
        <v>1660</v>
      </c>
    </row>
    <row r="18" spans="1:7" ht="23.25" customHeight="1" x14ac:dyDescent="0.2">
      <c r="A18" s="1" t="s">
        <v>47</v>
      </c>
      <c r="B18" s="212">
        <v>1.0589999999999999</v>
      </c>
      <c r="C18" s="212">
        <v>1.0429999999999999</v>
      </c>
      <c r="D18" s="212">
        <v>1.052</v>
      </c>
      <c r="E18" s="212">
        <v>1.0369999999999999</v>
      </c>
      <c r="F18" s="212">
        <v>1.0449999999999999</v>
      </c>
      <c r="G18" s="10" t="s">
        <v>1490</v>
      </c>
    </row>
    <row r="19" spans="1:7" ht="22.5" customHeight="1" x14ac:dyDescent="0.2">
      <c r="A19" s="1" t="s">
        <v>48</v>
      </c>
      <c r="B19" s="212">
        <v>1.0189999999999999</v>
      </c>
      <c r="C19" s="212">
        <v>1.0149999999999999</v>
      </c>
      <c r="D19" s="212">
        <v>1.0169999999999999</v>
      </c>
      <c r="E19" s="212">
        <v>1.014</v>
      </c>
      <c r="F19" s="212">
        <v>1.016</v>
      </c>
      <c r="G19" s="10" t="s">
        <v>1491</v>
      </c>
    </row>
    <row r="20" spans="1:7" ht="22.5" customHeight="1" x14ac:dyDescent="0.2">
      <c r="A20" s="1" t="s">
        <v>49</v>
      </c>
      <c r="B20" s="212">
        <v>1.006</v>
      </c>
      <c r="C20" s="212">
        <v>1.0049999999999999</v>
      </c>
      <c r="D20" s="212">
        <v>1.006</v>
      </c>
      <c r="E20" s="212">
        <v>1.004</v>
      </c>
      <c r="F20" s="212">
        <v>1.0049999999999999</v>
      </c>
      <c r="G20" s="10" t="s">
        <v>1492</v>
      </c>
    </row>
    <row r="22" spans="1:7" ht="22.5" customHeight="1" x14ac:dyDescent="0.2">
      <c r="A22" s="249" t="s">
        <v>50</v>
      </c>
      <c r="B22" s="291"/>
      <c r="C22" s="291"/>
      <c r="D22" s="291"/>
      <c r="E22" s="291"/>
      <c r="F22" s="291"/>
      <c r="G22" s="250"/>
    </row>
    <row r="23" spans="1:7" ht="22.5" customHeight="1" x14ac:dyDescent="0.2">
      <c r="A23" s="249" t="s">
        <v>10</v>
      </c>
      <c r="B23" s="291"/>
      <c r="C23" s="291"/>
      <c r="D23" s="291"/>
      <c r="E23" s="291"/>
      <c r="F23" s="291"/>
      <c r="G23" s="250"/>
    </row>
    <row r="24" spans="1:7" ht="33" customHeight="1" x14ac:dyDescent="0.2">
      <c r="A24" s="20" t="s">
        <v>9</v>
      </c>
      <c r="B24" s="20" t="s">
        <v>4</v>
      </c>
      <c r="C24" s="20" t="s">
        <v>5</v>
      </c>
      <c r="D24" s="20" t="s">
        <v>6</v>
      </c>
      <c r="E24" s="20" t="s">
        <v>7</v>
      </c>
      <c r="F24" s="20" t="s">
        <v>544</v>
      </c>
      <c r="G24" s="20" t="s">
        <v>8</v>
      </c>
    </row>
    <row r="25" spans="1:7" ht="22.5" customHeight="1" x14ac:dyDescent="0.2">
      <c r="A25" s="214" t="s">
        <v>1493</v>
      </c>
      <c r="B25" s="212">
        <v>1.0349999999999999</v>
      </c>
      <c r="C25" s="212">
        <v>1.05</v>
      </c>
      <c r="D25" s="212">
        <v>1.0489999999999999</v>
      </c>
      <c r="E25" s="212">
        <v>1.046</v>
      </c>
      <c r="F25" s="212">
        <v>1.048</v>
      </c>
      <c r="G25" s="211">
        <v>800</v>
      </c>
    </row>
    <row r="26" spans="1:7" ht="22.5" customHeight="1" x14ac:dyDescent="0.2">
      <c r="A26" s="214" t="s">
        <v>1494</v>
      </c>
      <c r="B26" s="212">
        <v>0.99099999999999999</v>
      </c>
      <c r="C26" s="212">
        <v>0.996</v>
      </c>
      <c r="D26" s="212">
        <v>0.996</v>
      </c>
      <c r="E26" s="212">
        <v>0.996</v>
      </c>
      <c r="F26" s="212">
        <v>0.997</v>
      </c>
      <c r="G26" s="211">
        <v>801</v>
      </c>
    </row>
    <row r="27" spans="1:7" ht="22.5" customHeight="1" x14ac:dyDescent="0.2">
      <c r="A27" s="214" t="s">
        <v>1495</v>
      </c>
      <c r="B27" s="212">
        <v>1.042</v>
      </c>
      <c r="C27" s="212">
        <v>1.034</v>
      </c>
      <c r="D27" s="212">
        <v>1.048</v>
      </c>
      <c r="E27" s="212">
        <v>1.0229999999999999</v>
      </c>
      <c r="F27" s="212">
        <v>1.0369999999999999</v>
      </c>
      <c r="G27" s="211">
        <v>802</v>
      </c>
    </row>
    <row r="28" spans="1:7" ht="22.5" customHeight="1" x14ac:dyDescent="0.2">
      <c r="A28" s="214" t="s">
        <v>1496</v>
      </c>
      <c r="B28" s="212">
        <v>1.0189999999999999</v>
      </c>
      <c r="C28" s="212">
        <v>1.0149999999999999</v>
      </c>
      <c r="D28" s="212">
        <v>1.0169999999999999</v>
      </c>
      <c r="E28" s="212">
        <v>1.014</v>
      </c>
      <c r="F28" s="212">
        <v>1.016</v>
      </c>
      <c r="G28" s="211">
        <v>803</v>
      </c>
    </row>
    <row r="29" spans="1:7" ht="22.5" customHeight="1" x14ac:dyDescent="0.2">
      <c r="A29" s="214" t="s">
        <v>1497</v>
      </c>
      <c r="B29" s="212">
        <v>1.0069999999999999</v>
      </c>
      <c r="C29" s="212">
        <v>1.012</v>
      </c>
      <c r="D29" s="212">
        <v>1.0069999999999999</v>
      </c>
      <c r="E29" s="212">
        <v>1.01</v>
      </c>
      <c r="F29" s="212">
        <v>1.01</v>
      </c>
      <c r="G29" s="211">
        <v>804</v>
      </c>
    </row>
    <row r="30" spans="1:7" ht="22.5" customHeight="1" x14ac:dyDescent="0.2">
      <c r="A30" s="214" t="s">
        <v>1498</v>
      </c>
      <c r="B30" s="212">
        <v>1.0189999999999999</v>
      </c>
      <c r="C30" s="212">
        <v>1.0149999999999999</v>
      </c>
      <c r="D30" s="212">
        <v>1.0169999999999999</v>
      </c>
      <c r="E30" s="212">
        <v>1.014</v>
      </c>
      <c r="F30" s="212">
        <v>1.016</v>
      </c>
      <c r="G30" s="211">
        <v>805</v>
      </c>
    </row>
    <row r="31" spans="1:7" ht="22.5" customHeight="1" x14ac:dyDescent="0.2">
      <c r="A31" s="214" t="s">
        <v>1499</v>
      </c>
      <c r="B31" s="212">
        <v>1.0189999999999999</v>
      </c>
      <c r="C31" s="212">
        <v>1.0149999999999999</v>
      </c>
      <c r="D31" s="212">
        <v>1.0169999999999999</v>
      </c>
      <c r="E31" s="212">
        <v>1.014</v>
      </c>
      <c r="F31" s="212">
        <v>1.016</v>
      </c>
      <c r="G31" s="211">
        <v>806</v>
      </c>
    </row>
    <row r="32" spans="1:7" ht="22.5" customHeight="1" x14ac:dyDescent="0.2">
      <c r="A32" s="214" t="s">
        <v>1500</v>
      </c>
      <c r="B32" s="212">
        <v>1.0189999999999999</v>
      </c>
      <c r="C32" s="212">
        <v>1.0149999999999999</v>
      </c>
      <c r="D32" s="212">
        <v>1.0169999999999999</v>
      </c>
      <c r="E32" s="212">
        <v>1.014</v>
      </c>
      <c r="F32" s="212">
        <v>1.016</v>
      </c>
      <c r="G32" s="211">
        <v>807</v>
      </c>
    </row>
    <row r="33" spans="1:7" ht="22.5" customHeight="1" x14ac:dyDescent="0.2">
      <c r="A33" s="214" t="s">
        <v>1501</v>
      </c>
      <c r="B33" s="212">
        <v>1.0189999999999999</v>
      </c>
      <c r="C33" s="212">
        <v>1.0149999999999999</v>
      </c>
      <c r="D33" s="212">
        <v>1.0169999999999999</v>
      </c>
      <c r="E33" s="212">
        <v>1.014</v>
      </c>
      <c r="F33" s="212">
        <v>1.016</v>
      </c>
      <c r="G33" s="211">
        <v>808</v>
      </c>
    </row>
    <row r="34" spans="1:7" ht="22.5" customHeight="1" x14ac:dyDescent="0.2">
      <c r="A34" s="214" t="s">
        <v>1502</v>
      </c>
      <c r="B34" s="212">
        <v>1.0349999999999999</v>
      </c>
      <c r="C34" s="212">
        <v>1.022</v>
      </c>
      <c r="D34" s="212">
        <v>1.0309999999999999</v>
      </c>
      <c r="E34" s="212">
        <v>1.026</v>
      </c>
      <c r="F34" s="212">
        <v>1.0289999999999999</v>
      </c>
      <c r="G34" s="211">
        <v>809</v>
      </c>
    </row>
    <row r="35" spans="1:7" ht="22.5" customHeight="1" x14ac:dyDescent="0.2">
      <c r="A35" s="214" t="s">
        <v>1503</v>
      </c>
      <c r="B35" s="212">
        <v>1.0089999999999999</v>
      </c>
      <c r="C35" s="212">
        <v>1.0069999999999999</v>
      </c>
      <c r="D35" s="212">
        <v>1.008</v>
      </c>
      <c r="E35" s="212">
        <v>1.008</v>
      </c>
      <c r="F35" s="212">
        <v>1.008</v>
      </c>
      <c r="G35" s="211">
        <v>810</v>
      </c>
    </row>
    <row r="36" spans="1:7" ht="22.5" customHeight="1" x14ac:dyDescent="0.2">
      <c r="A36" s="214" t="s">
        <v>1504</v>
      </c>
      <c r="B36" s="212">
        <v>1.0189999999999999</v>
      </c>
      <c r="C36" s="212">
        <v>1.0149999999999999</v>
      </c>
      <c r="D36" s="212">
        <v>1.0169999999999999</v>
      </c>
      <c r="E36" s="212">
        <v>1.014</v>
      </c>
      <c r="F36" s="212">
        <v>1.016</v>
      </c>
      <c r="G36" s="211">
        <v>811</v>
      </c>
    </row>
    <row r="37" spans="1:7" ht="22.5" customHeight="1" x14ac:dyDescent="0.2">
      <c r="A37" s="214" t="s">
        <v>1505</v>
      </c>
      <c r="B37" s="212">
        <v>1.0189999999999999</v>
      </c>
      <c r="C37" s="212">
        <v>1.0149999999999999</v>
      </c>
      <c r="D37" s="212">
        <v>1.0169999999999999</v>
      </c>
      <c r="E37" s="212">
        <v>1.014</v>
      </c>
      <c r="F37" s="212">
        <v>1.016</v>
      </c>
      <c r="G37" s="211">
        <v>812</v>
      </c>
    </row>
    <row r="38" spans="1:7" ht="22.5" customHeight="1" x14ac:dyDescent="0.2">
      <c r="A38" s="214" t="s">
        <v>1506</v>
      </c>
      <c r="B38" s="212">
        <v>1.006</v>
      </c>
      <c r="C38" s="212">
        <v>1.0049999999999999</v>
      </c>
      <c r="D38" s="212">
        <v>1.006</v>
      </c>
      <c r="E38" s="212">
        <v>1.004</v>
      </c>
      <c r="F38" s="212">
        <v>1.0049999999999999</v>
      </c>
      <c r="G38" s="211">
        <v>813</v>
      </c>
    </row>
    <row r="39" spans="1:7" ht="22.5" customHeight="1" x14ac:dyDescent="0.2">
      <c r="A39" s="214" t="s">
        <v>1507</v>
      </c>
      <c r="B39" s="212">
        <v>1.0189999999999999</v>
      </c>
      <c r="C39" s="212">
        <v>1.018</v>
      </c>
      <c r="D39" s="212">
        <v>1.0189999999999999</v>
      </c>
      <c r="E39" s="212">
        <v>1.018</v>
      </c>
      <c r="F39" s="212">
        <v>1.0189999999999999</v>
      </c>
      <c r="G39" s="211">
        <v>814</v>
      </c>
    </row>
    <row r="40" spans="1:7" ht="22.5" customHeight="1" x14ac:dyDescent="0.2">
      <c r="A40" s="214" t="s">
        <v>1508</v>
      </c>
      <c r="B40" s="212">
        <v>1.0189999999999999</v>
      </c>
      <c r="C40" s="212">
        <v>1.0149999999999999</v>
      </c>
      <c r="D40" s="212">
        <v>1.0169999999999999</v>
      </c>
      <c r="E40" s="212">
        <v>1.014</v>
      </c>
      <c r="F40" s="212">
        <v>1.016</v>
      </c>
      <c r="G40" s="211">
        <v>815</v>
      </c>
    </row>
    <row r="41" spans="1:7" ht="22.5" customHeight="1" x14ac:dyDescent="0.2">
      <c r="A41" s="214" t="s">
        <v>1509</v>
      </c>
      <c r="B41" s="212">
        <v>1.0189999999999999</v>
      </c>
      <c r="C41" s="212">
        <v>1.0149999999999999</v>
      </c>
      <c r="D41" s="212">
        <v>1.0169999999999999</v>
      </c>
      <c r="E41" s="212">
        <v>1.014</v>
      </c>
      <c r="F41" s="212">
        <v>1.016</v>
      </c>
      <c r="G41" s="211">
        <v>816</v>
      </c>
    </row>
    <row r="42" spans="1:7" ht="22.5" customHeight="1" x14ac:dyDescent="0.2">
      <c r="A42" s="214" t="s">
        <v>1510</v>
      </c>
      <c r="B42" s="212">
        <v>1.0189999999999999</v>
      </c>
      <c r="C42" s="212">
        <v>1.0149999999999999</v>
      </c>
      <c r="D42" s="212">
        <v>1.0169999999999999</v>
      </c>
      <c r="E42" s="212">
        <v>1.014</v>
      </c>
      <c r="F42" s="212">
        <v>1.016</v>
      </c>
      <c r="G42" s="211">
        <v>817</v>
      </c>
    </row>
    <row r="43" spans="1:7" ht="22.5" customHeight="1" x14ac:dyDescent="0.2">
      <c r="A43" s="214" t="s">
        <v>1511</v>
      </c>
      <c r="B43" s="212">
        <v>1.0189999999999999</v>
      </c>
      <c r="C43" s="212">
        <v>1.0149999999999999</v>
      </c>
      <c r="D43" s="212">
        <v>1.0169999999999999</v>
      </c>
      <c r="E43" s="212">
        <v>1.014</v>
      </c>
      <c r="F43" s="212">
        <v>1.016</v>
      </c>
      <c r="G43" s="211">
        <v>818</v>
      </c>
    </row>
    <row r="44" spans="1:7" ht="22.5" customHeight="1" x14ac:dyDescent="0.2">
      <c r="A44" s="214" t="s">
        <v>1512</v>
      </c>
      <c r="B44" s="212">
        <v>1.0189999999999999</v>
      </c>
      <c r="C44" s="212">
        <v>1.0149999999999999</v>
      </c>
      <c r="D44" s="212">
        <v>1.0169999999999999</v>
      </c>
      <c r="E44" s="212">
        <v>1.014</v>
      </c>
      <c r="F44" s="212">
        <v>1.016</v>
      </c>
      <c r="G44" s="211">
        <v>819</v>
      </c>
    </row>
    <row r="45" spans="1:7" ht="22.5" customHeight="1" x14ac:dyDescent="0.2">
      <c r="A45" s="214" t="s">
        <v>1513</v>
      </c>
      <c r="B45" s="212">
        <v>1.014</v>
      </c>
      <c r="C45" s="212">
        <v>1.0109999999999999</v>
      </c>
      <c r="D45" s="212">
        <v>1.014</v>
      </c>
      <c r="E45" s="212">
        <v>1.012</v>
      </c>
      <c r="F45" s="212">
        <v>1.014</v>
      </c>
      <c r="G45" s="211">
        <v>820</v>
      </c>
    </row>
    <row r="46" spans="1:7" ht="22.5" customHeight="1" x14ac:dyDescent="0.2">
      <c r="A46" s="214" t="s">
        <v>1514</v>
      </c>
      <c r="B46" s="212">
        <v>1.0580000000000001</v>
      </c>
      <c r="C46" s="212">
        <v>1.046</v>
      </c>
      <c r="D46" s="212">
        <v>1.052</v>
      </c>
      <c r="E46" s="212">
        <v>1.044</v>
      </c>
      <c r="F46" s="212">
        <v>1.052</v>
      </c>
      <c r="G46" s="211">
        <v>821</v>
      </c>
    </row>
    <row r="47" spans="1:7" ht="22.5" customHeight="1" x14ac:dyDescent="0.2">
      <c r="A47" s="214" t="s">
        <v>1515</v>
      </c>
      <c r="B47" s="212">
        <v>1.0189999999999999</v>
      </c>
      <c r="C47" s="212">
        <v>1.0149999999999999</v>
      </c>
      <c r="D47" s="212">
        <v>1.0169999999999999</v>
      </c>
      <c r="E47" s="212">
        <v>1.014</v>
      </c>
      <c r="F47" s="212">
        <v>1.016</v>
      </c>
      <c r="G47" s="211">
        <v>822</v>
      </c>
    </row>
    <row r="48" spans="1:7" ht="22.5" customHeight="1" x14ac:dyDescent="0.2">
      <c r="A48" s="214" t="s">
        <v>1516</v>
      </c>
      <c r="B48" s="212">
        <v>1.0189999999999999</v>
      </c>
      <c r="C48" s="212">
        <v>1.0149999999999999</v>
      </c>
      <c r="D48" s="212">
        <v>1.0169999999999999</v>
      </c>
      <c r="E48" s="212">
        <v>1.014</v>
      </c>
      <c r="F48" s="212">
        <v>1.016</v>
      </c>
      <c r="G48" s="211">
        <v>823</v>
      </c>
    </row>
    <row r="49" spans="1:7" ht="22.5" customHeight="1" x14ac:dyDescent="0.2">
      <c r="A49" s="214" t="s">
        <v>1517</v>
      </c>
      <c r="B49" s="212">
        <v>1.0189999999999999</v>
      </c>
      <c r="C49" s="212">
        <v>1.0149999999999999</v>
      </c>
      <c r="D49" s="212">
        <v>1.0169999999999999</v>
      </c>
      <c r="E49" s="212">
        <v>1.014</v>
      </c>
      <c r="F49" s="212">
        <v>1.016</v>
      </c>
      <c r="G49" s="211">
        <v>824</v>
      </c>
    </row>
    <row r="50" spans="1:7" ht="22.5" customHeight="1" x14ac:dyDescent="0.2">
      <c r="A50" s="214" t="s">
        <v>1518</v>
      </c>
      <c r="B50" s="212">
        <v>1.0189999999999999</v>
      </c>
      <c r="C50" s="212">
        <v>1.0149999999999999</v>
      </c>
      <c r="D50" s="212">
        <v>1.0169999999999999</v>
      </c>
      <c r="E50" s="212">
        <v>1.014</v>
      </c>
      <c r="F50" s="212">
        <v>1.016</v>
      </c>
      <c r="G50" s="211">
        <v>825</v>
      </c>
    </row>
    <row r="51" spans="1:7" ht="22.5" customHeight="1" x14ac:dyDescent="0.2">
      <c r="A51" s="214" t="s">
        <v>1519</v>
      </c>
      <c r="B51" s="212">
        <v>1.0189999999999999</v>
      </c>
      <c r="C51" s="212">
        <v>1.0149999999999999</v>
      </c>
      <c r="D51" s="212">
        <v>1.0169999999999999</v>
      </c>
      <c r="E51" s="212">
        <v>1.014</v>
      </c>
      <c r="F51" s="212">
        <v>1.016</v>
      </c>
      <c r="G51" s="211">
        <v>826</v>
      </c>
    </row>
    <row r="52" spans="1:7" ht="22.5" customHeight="1" x14ac:dyDescent="0.2">
      <c r="A52" s="214" t="s">
        <v>1520</v>
      </c>
      <c r="B52" s="212">
        <v>1.046</v>
      </c>
      <c r="C52" s="212">
        <v>1.0449999999999999</v>
      </c>
      <c r="D52" s="212">
        <v>1.046</v>
      </c>
      <c r="E52" s="212">
        <v>1.044</v>
      </c>
      <c r="F52" s="212">
        <v>1.046</v>
      </c>
      <c r="G52" s="211">
        <v>827</v>
      </c>
    </row>
    <row r="53" spans="1:7" ht="22.5" customHeight="1" x14ac:dyDescent="0.2">
      <c r="A53" s="214" t="s">
        <v>1521</v>
      </c>
      <c r="B53" s="212">
        <v>1.04</v>
      </c>
      <c r="C53" s="212">
        <v>1.0349999999999999</v>
      </c>
      <c r="D53" s="212">
        <v>1.0389999999999999</v>
      </c>
      <c r="E53" s="212">
        <v>1.028</v>
      </c>
      <c r="F53" s="212">
        <v>1.0309999999999999</v>
      </c>
      <c r="G53" s="211">
        <v>828</v>
      </c>
    </row>
    <row r="54" spans="1:7" ht="22.5" customHeight="1" x14ac:dyDescent="0.2">
      <c r="A54" s="214" t="s">
        <v>1522</v>
      </c>
      <c r="B54" s="212">
        <v>1.042</v>
      </c>
      <c r="C54" s="212">
        <v>1.0269999999999999</v>
      </c>
      <c r="D54" s="212">
        <v>1.032</v>
      </c>
      <c r="E54" s="212">
        <v>1.026</v>
      </c>
      <c r="F54" s="212">
        <v>1.032</v>
      </c>
      <c r="G54" s="211">
        <v>829</v>
      </c>
    </row>
    <row r="55" spans="1:7" ht="22.5" customHeight="1" x14ac:dyDescent="0.2">
      <c r="A55" s="214" t="s">
        <v>1523</v>
      </c>
      <c r="B55" s="212">
        <v>1.046</v>
      </c>
      <c r="C55" s="212">
        <v>1.0329999999999999</v>
      </c>
      <c r="D55" s="212">
        <v>1.0389999999999999</v>
      </c>
      <c r="E55" s="212">
        <v>1.0149999999999999</v>
      </c>
      <c r="F55" s="212">
        <v>1.0269999999999999</v>
      </c>
      <c r="G55" s="211">
        <v>830</v>
      </c>
    </row>
    <row r="56" spans="1:7" ht="22.5" customHeight="1" x14ac:dyDescent="0.2">
      <c r="A56" s="214" t="s">
        <v>1524</v>
      </c>
      <c r="B56" s="212">
        <v>1.024</v>
      </c>
      <c r="C56" s="212">
        <v>1.022</v>
      </c>
      <c r="D56" s="212">
        <v>1.026</v>
      </c>
      <c r="E56" s="212">
        <v>1.018</v>
      </c>
      <c r="F56" s="212">
        <v>1.022</v>
      </c>
      <c r="G56" s="211">
        <v>831</v>
      </c>
    </row>
    <row r="57" spans="1:7" ht="22.5" customHeight="1" x14ac:dyDescent="0.2">
      <c r="A57" s="214" t="s">
        <v>1525</v>
      </c>
      <c r="B57" s="212">
        <v>1.0189999999999999</v>
      </c>
      <c r="C57" s="212">
        <v>1.0169999999999999</v>
      </c>
      <c r="D57" s="212">
        <v>1.018</v>
      </c>
      <c r="E57" s="212">
        <v>1.0169999999999999</v>
      </c>
      <c r="F57" s="212">
        <v>1.0189999999999999</v>
      </c>
      <c r="G57" s="211">
        <v>832</v>
      </c>
    </row>
    <row r="58" spans="1:7" ht="22.5" customHeight="1" x14ac:dyDescent="0.2">
      <c r="A58" s="214" t="s">
        <v>1526</v>
      </c>
      <c r="B58" s="212">
        <v>1.0109999999999999</v>
      </c>
      <c r="C58" s="212">
        <v>1.0129999999999999</v>
      </c>
      <c r="D58" s="212">
        <v>1.014</v>
      </c>
      <c r="E58" s="212">
        <v>1.0109999999999999</v>
      </c>
      <c r="F58" s="212">
        <v>1.0149999999999999</v>
      </c>
      <c r="G58" s="211">
        <v>833</v>
      </c>
    </row>
    <row r="59" spans="1:7" ht="22.5" customHeight="1" x14ac:dyDescent="0.2">
      <c r="A59" s="214" t="s">
        <v>1527</v>
      </c>
      <c r="B59" s="212">
        <v>1.0589999999999999</v>
      </c>
      <c r="C59" s="212">
        <v>1.0429999999999999</v>
      </c>
      <c r="D59" s="212">
        <v>1.052</v>
      </c>
      <c r="E59" s="212">
        <v>1.0369999999999999</v>
      </c>
      <c r="F59" s="212">
        <v>1.0449999999999999</v>
      </c>
      <c r="G59" s="211">
        <v>834</v>
      </c>
    </row>
    <row r="60" spans="1:7" ht="22.5" customHeight="1" x14ac:dyDescent="0.2">
      <c r="A60" s="214" t="s">
        <v>1528</v>
      </c>
      <c r="B60" s="212">
        <v>1.0589999999999999</v>
      </c>
      <c r="C60" s="212">
        <v>1.0429999999999999</v>
      </c>
      <c r="D60" s="212">
        <v>1.052</v>
      </c>
      <c r="E60" s="212">
        <v>1.0369999999999999</v>
      </c>
      <c r="F60" s="212">
        <v>1.0449999999999999</v>
      </c>
      <c r="G60" s="211">
        <v>835</v>
      </c>
    </row>
    <row r="61" spans="1:7" ht="22.5" customHeight="1" x14ac:dyDescent="0.2">
      <c r="A61" s="214" t="s">
        <v>1529</v>
      </c>
      <c r="B61" s="212">
        <v>1.0589999999999999</v>
      </c>
      <c r="C61" s="212">
        <v>1.0429999999999999</v>
      </c>
      <c r="D61" s="212">
        <v>1.052</v>
      </c>
      <c r="E61" s="212">
        <v>1.0369999999999999</v>
      </c>
      <c r="F61" s="212">
        <v>1.0449999999999999</v>
      </c>
      <c r="G61" s="211">
        <v>837</v>
      </c>
    </row>
    <row r="62" spans="1:7" ht="22.5" customHeight="1" x14ac:dyDescent="0.2">
      <c r="A62" s="214" t="s">
        <v>1530</v>
      </c>
      <c r="B62" s="212">
        <v>1.0589999999999999</v>
      </c>
      <c r="C62" s="212">
        <v>1.0429999999999999</v>
      </c>
      <c r="D62" s="212">
        <v>1.052</v>
      </c>
      <c r="E62" s="212">
        <v>1.0369999999999999</v>
      </c>
      <c r="F62" s="212">
        <v>1.0449999999999999</v>
      </c>
      <c r="G62" s="211">
        <v>838</v>
      </c>
    </row>
    <row r="63" spans="1:7" ht="22.5" customHeight="1" x14ac:dyDescent="0.2">
      <c r="A63" s="214" t="s">
        <v>1531</v>
      </c>
      <c r="B63" s="212">
        <v>1.0589999999999999</v>
      </c>
      <c r="C63" s="212">
        <v>1.0429999999999999</v>
      </c>
      <c r="D63" s="212">
        <v>1.052</v>
      </c>
      <c r="E63" s="212">
        <v>1.0369999999999999</v>
      </c>
      <c r="F63" s="212">
        <v>1.0449999999999999</v>
      </c>
      <c r="G63" s="211">
        <v>839</v>
      </c>
    </row>
    <row r="64" spans="1:7" ht="22.5" customHeight="1" x14ac:dyDescent="0.2">
      <c r="A64" s="214" t="s">
        <v>1532</v>
      </c>
      <c r="B64" s="212">
        <v>1.012</v>
      </c>
      <c r="C64" s="212">
        <v>1.01</v>
      </c>
      <c r="D64" s="212">
        <v>1.012</v>
      </c>
      <c r="E64" s="212">
        <v>1.01</v>
      </c>
      <c r="F64" s="212">
        <v>1.01</v>
      </c>
      <c r="G64" s="211">
        <v>840</v>
      </c>
    </row>
    <row r="65" spans="1:7" ht="22.5" customHeight="1" x14ac:dyDescent="0.2">
      <c r="A65" s="214" t="s">
        <v>1533</v>
      </c>
      <c r="B65" s="212">
        <v>1.0049999999999999</v>
      </c>
      <c r="C65" s="212">
        <v>1.0009999999999999</v>
      </c>
      <c r="D65" s="212">
        <v>1.004</v>
      </c>
      <c r="E65" s="212">
        <v>1.0029999999999999</v>
      </c>
      <c r="F65" s="212">
        <v>1.0029999999999999</v>
      </c>
      <c r="G65" s="211">
        <v>841</v>
      </c>
    </row>
    <row r="66" spans="1:7" ht="22.5" customHeight="1" x14ac:dyDescent="0.2">
      <c r="A66" s="214" t="s">
        <v>1534</v>
      </c>
      <c r="B66" s="212">
        <v>1.0329999999999999</v>
      </c>
      <c r="C66" s="212">
        <v>1.036</v>
      </c>
      <c r="D66" s="212">
        <v>1.032</v>
      </c>
      <c r="E66" s="212">
        <v>1.032</v>
      </c>
      <c r="F66" s="212">
        <v>1.032</v>
      </c>
      <c r="G66" s="211">
        <v>842</v>
      </c>
    </row>
    <row r="67" spans="1:7" ht="22.5" customHeight="1" x14ac:dyDescent="0.2">
      <c r="A67" s="214" t="s">
        <v>1535</v>
      </c>
      <c r="B67" s="212">
        <v>1.004</v>
      </c>
      <c r="C67" s="212">
        <v>1.0029999999999999</v>
      </c>
      <c r="D67" s="212">
        <v>1.0029999999999999</v>
      </c>
      <c r="E67" s="212">
        <v>1.0029999999999999</v>
      </c>
      <c r="F67" s="212">
        <v>1.0029999999999999</v>
      </c>
      <c r="G67" s="211">
        <v>843</v>
      </c>
    </row>
    <row r="68" spans="1:7" ht="22.5" customHeight="1" x14ac:dyDescent="0.2">
      <c r="A68" s="214" t="s">
        <v>1536</v>
      </c>
      <c r="B68" s="212">
        <v>1.0029999999999999</v>
      </c>
      <c r="C68" s="212">
        <v>1</v>
      </c>
      <c r="D68" s="212">
        <v>1.0029999999999999</v>
      </c>
      <c r="E68" s="212">
        <v>1</v>
      </c>
      <c r="F68" s="212">
        <v>1.0009999999999999</v>
      </c>
      <c r="G68" s="211">
        <v>844</v>
      </c>
    </row>
    <row r="69" spans="1:7" ht="22.5" customHeight="1" x14ac:dyDescent="0.2">
      <c r="A69" s="214" t="s">
        <v>1537</v>
      </c>
      <c r="B69" s="212">
        <v>1.0189999999999999</v>
      </c>
      <c r="C69" s="212">
        <v>1.0149999999999999</v>
      </c>
      <c r="D69" s="212">
        <v>1.0169999999999999</v>
      </c>
      <c r="E69" s="212">
        <v>1.014</v>
      </c>
      <c r="F69" s="212">
        <v>1.016</v>
      </c>
      <c r="G69" s="211">
        <v>845</v>
      </c>
    </row>
    <row r="70" spans="1:7" ht="22.5" customHeight="1" x14ac:dyDescent="0.2">
      <c r="A70" s="214" t="s">
        <v>1538</v>
      </c>
      <c r="B70" s="212">
        <v>1.0029999999999999</v>
      </c>
      <c r="C70" s="212">
        <v>1.0029999999999999</v>
      </c>
      <c r="D70" s="212">
        <v>1.0029999999999999</v>
      </c>
      <c r="E70" s="212">
        <v>1.0029999999999999</v>
      </c>
      <c r="F70" s="212">
        <v>1.002</v>
      </c>
      <c r="G70" s="211">
        <v>846</v>
      </c>
    </row>
    <row r="71" spans="1:7" ht="22.5" customHeight="1" x14ac:dyDescent="0.2">
      <c r="A71" s="214" t="s">
        <v>1539</v>
      </c>
      <c r="B71" s="212">
        <v>1.014</v>
      </c>
      <c r="C71" s="212">
        <v>1.0149999999999999</v>
      </c>
      <c r="D71" s="212">
        <v>1.014</v>
      </c>
      <c r="E71" s="212">
        <v>1.0129999999999999</v>
      </c>
      <c r="F71" s="212">
        <v>1.0129999999999999</v>
      </c>
      <c r="G71" s="211">
        <v>850</v>
      </c>
    </row>
    <row r="72" spans="1:7" ht="22.5" customHeight="1" x14ac:dyDescent="0.2">
      <c r="A72" s="214" t="s">
        <v>1540</v>
      </c>
      <c r="B72" s="212">
        <v>1.018</v>
      </c>
      <c r="C72" s="212">
        <v>1.008</v>
      </c>
      <c r="D72" s="212">
        <v>1.01</v>
      </c>
      <c r="E72" s="212">
        <v>1.0069999999999999</v>
      </c>
      <c r="F72" s="212">
        <v>1.0109999999999999</v>
      </c>
      <c r="G72" s="211">
        <v>851</v>
      </c>
    </row>
    <row r="73" spans="1:7" ht="22.5" customHeight="1" x14ac:dyDescent="0.2">
      <c r="A73" s="214" t="s">
        <v>1541</v>
      </c>
      <c r="B73" s="212">
        <v>1.0009999999999999</v>
      </c>
      <c r="C73" s="212">
        <v>1.004</v>
      </c>
      <c r="D73" s="212">
        <v>1.0089999999999999</v>
      </c>
      <c r="E73" s="212">
        <v>1.0109999999999999</v>
      </c>
      <c r="F73" s="212">
        <v>1.004</v>
      </c>
      <c r="G73" s="211">
        <v>852</v>
      </c>
    </row>
    <row r="74" spans="1:7" ht="22.5" customHeight="1" x14ac:dyDescent="0.2">
      <c r="A74" s="214" t="s">
        <v>1542</v>
      </c>
      <c r="B74" s="212">
        <v>1.0209999999999999</v>
      </c>
      <c r="C74" s="212">
        <v>1.01</v>
      </c>
      <c r="D74" s="212">
        <v>1.0169999999999999</v>
      </c>
      <c r="E74" s="212">
        <v>1.0069999999999999</v>
      </c>
      <c r="F74" s="212">
        <v>1.014</v>
      </c>
      <c r="G74" s="211">
        <v>853</v>
      </c>
    </row>
    <row r="75" spans="1:7" ht="22.5" customHeight="1" x14ac:dyDescent="0.2">
      <c r="A75" s="214" t="s">
        <v>1543</v>
      </c>
      <c r="B75" s="212">
        <v>1.0149999999999999</v>
      </c>
      <c r="C75" s="212">
        <v>1.004</v>
      </c>
      <c r="D75" s="212">
        <v>1.0089999999999999</v>
      </c>
      <c r="E75" s="212">
        <v>1.0069999999999999</v>
      </c>
      <c r="F75" s="212">
        <v>1.01</v>
      </c>
      <c r="G75" s="211">
        <v>854</v>
      </c>
    </row>
    <row r="76" spans="1:7" ht="22.5" customHeight="1" x14ac:dyDescent="0.2">
      <c r="A76" s="214" t="s">
        <v>1544</v>
      </c>
      <c r="B76" s="212">
        <v>1.0049999999999999</v>
      </c>
      <c r="C76" s="212">
        <v>1.0049999999999999</v>
      </c>
      <c r="D76" s="212">
        <v>1.0049999999999999</v>
      </c>
      <c r="E76" s="212">
        <v>1.004</v>
      </c>
      <c r="F76" s="212">
        <v>1.004</v>
      </c>
      <c r="G76" s="211">
        <v>855</v>
      </c>
    </row>
    <row r="77" spans="1:7" ht="22.5" customHeight="1" x14ac:dyDescent="0.2">
      <c r="A77" s="214" t="s">
        <v>1545</v>
      </c>
      <c r="B77" s="212">
        <v>1.0149999999999999</v>
      </c>
      <c r="C77" s="212">
        <v>1.0089999999999999</v>
      </c>
      <c r="D77" s="212">
        <v>1.0129999999999999</v>
      </c>
      <c r="E77" s="212">
        <v>1.008</v>
      </c>
      <c r="F77" s="212">
        <v>1.0129999999999999</v>
      </c>
      <c r="G77" s="211">
        <v>856</v>
      </c>
    </row>
    <row r="78" spans="1:7" ht="22.5" customHeight="1" x14ac:dyDescent="0.2">
      <c r="A78" s="214" t="s">
        <v>1546</v>
      </c>
      <c r="B78" s="212">
        <v>1.0209999999999999</v>
      </c>
      <c r="C78" s="212">
        <v>1.018</v>
      </c>
      <c r="D78" s="212">
        <v>1.02</v>
      </c>
      <c r="E78" s="212">
        <v>1.0149999999999999</v>
      </c>
      <c r="F78" s="212">
        <v>1.02</v>
      </c>
      <c r="G78" s="211">
        <v>857</v>
      </c>
    </row>
    <row r="79" spans="1:7" ht="22.5" customHeight="1" x14ac:dyDescent="0.2">
      <c r="A79" s="214" t="s">
        <v>1547</v>
      </c>
      <c r="B79" s="212">
        <v>1.0169999999999999</v>
      </c>
      <c r="C79" s="212">
        <v>1.014</v>
      </c>
      <c r="D79" s="212">
        <v>1.0089999999999999</v>
      </c>
      <c r="E79" s="212">
        <v>1.0129999999999999</v>
      </c>
      <c r="F79" s="212">
        <v>1.0169999999999999</v>
      </c>
      <c r="G79" s="211">
        <v>858</v>
      </c>
    </row>
    <row r="80" spans="1:7" ht="22.5" customHeight="1" x14ac:dyDescent="0.2">
      <c r="A80" s="214" t="s">
        <v>1548</v>
      </c>
      <c r="B80" s="212">
        <v>1.032</v>
      </c>
      <c r="C80" s="212">
        <v>1.032</v>
      </c>
      <c r="D80" s="212">
        <v>1.032</v>
      </c>
      <c r="E80" s="212">
        <v>1.0309999999999999</v>
      </c>
      <c r="F80" s="212">
        <v>1.0329999999999999</v>
      </c>
      <c r="G80" s="211">
        <v>859</v>
      </c>
    </row>
    <row r="81" spans="1:7" ht="22.5" customHeight="1" x14ac:dyDescent="0.2">
      <c r="A81" s="214" t="s">
        <v>1549</v>
      </c>
      <c r="B81" s="212">
        <v>1.026</v>
      </c>
      <c r="C81" s="212">
        <v>1.016</v>
      </c>
      <c r="D81" s="212">
        <v>1.0209999999999999</v>
      </c>
      <c r="E81" s="212">
        <v>1.01</v>
      </c>
      <c r="F81" s="212">
        <v>1.0189999999999999</v>
      </c>
      <c r="G81" s="211">
        <v>860</v>
      </c>
    </row>
    <row r="82" spans="1:7" ht="22.5" customHeight="1" x14ac:dyDescent="0.2">
      <c r="A82" s="214" t="s">
        <v>1550</v>
      </c>
      <c r="B82" s="212">
        <v>1.048</v>
      </c>
      <c r="C82" s="212">
        <v>1.024</v>
      </c>
      <c r="D82" s="212">
        <v>1.0309999999999999</v>
      </c>
      <c r="E82" s="212">
        <v>1.0189999999999999</v>
      </c>
      <c r="F82" s="212">
        <v>1.03</v>
      </c>
      <c r="G82" s="211">
        <v>861</v>
      </c>
    </row>
    <row r="83" spans="1:7" ht="22.5" customHeight="1" x14ac:dyDescent="0.2">
      <c r="A83" s="214" t="s">
        <v>1551</v>
      </c>
      <c r="B83" s="212">
        <v>1.008</v>
      </c>
      <c r="C83" s="212">
        <v>1.006</v>
      </c>
      <c r="D83" s="212">
        <v>1.0069999999999999</v>
      </c>
      <c r="E83" s="212">
        <v>1.0049999999999999</v>
      </c>
      <c r="F83" s="212">
        <v>1.006</v>
      </c>
      <c r="G83" s="211">
        <v>862</v>
      </c>
    </row>
    <row r="84" spans="1:7" ht="22.5" customHeight="1" x14ac:dyDescent="0.2">
      <c r="A84" s="214" t="s">
        <v>1552</v>
      </c>
      <c r="B84" s="212">
        <v>1.03</v>
      </c>
      <c r="C84" s="212">
        <v>1.0289999999999999</v>
      </c>
      <c r="D84" s="212">
        <v>1.03</v>
      </c>
      <c r="E84" s="212">
        <v>1.03</v>
      </c>
      <c r="F84" s="212">
        <v>1.03</v>
      </c>
      <c r="G84" s="211">
        <v>863</v>
      </c>
    </row>
    <row r="85" spans="1:7" ht="22.5" customHeight="1" x14ac:dyDescent="0.2">
      <c r="A85" s="214" t="s">
        <v>1553</v>
      </c>
      <c r="B85" s="212">
        <v>1.006</v>
      </c>
      <c r="C85" s="212">
        <v>1.0049999999999999</v>
      </c>
      <c r="D85" s="212">
        <v>1.006</v>
      </c>
      <c r="E85" s="212">
        <v>1.0049999999999999</v>
      </c>
      <c r="F85" s="212">
        <v>1.006</v>
      </c>
      <c r="G85" s="211">
        <v>864</v>
      </c>
    </row>
    <row r="86" spans="1:7" ht="22.5" customHeight="1" x14ac:dyDescent="0.2">
      <c r="A86" s="214" t="s">
        <v>1554</v>
      </c>
      <c r="B86" s="212">
        <v>1.016</v>
      </c>
      <c r="C86" s="212">
        <v>1.008</v>
      </c>
      <c r="D86" s="212">
        <v>1.0129999999999999</v>
      </c>
      <c r="E86" s="212">
        <v>1.0089999999999999</v>
      </c>
      <c r="F86" s="212">
        <v>1.01</v>
      </c>
      <c r="G86" s="211">
        <v>865</v>
      </c>
    </row>
    <row r="87" spans="1:7" ht="22.5" customHeight="1" x14ac:dyDescent="0.2">
      <c r="A87" s="214" t="s">
        <v>1555</v>
      </c>
      <c r="B87" s="212">
        <v>1.0269999999999999</v>
      </c>
      <c r="C87" s="212">
        <v>1.0209999999999999</v>
      </c>
      <c r="D87" s="212">
        <v>1.0169999999999999</v>
      </c>
      <c r="E87" s="212">
        <v>1.012</v>
      </c>
      <c r="F87" s="212">
        <v>1.02</v>
      </c>
      <c r="G87" s="211">
        <v>866</v>
      </c>
    </row>
    <row r="88" spans="1:7" ht="22.5" customHeight="1" x14ac:dyDescent="0.2">
      <c r="A88" s="214" t="s">
        <v>1556</v>
      </c>
      <c r="B88" s="212">
        <v>1.032</v>
      </c>
      <c r="C88" s="212">
        <v>1.024</v>
      </c>
      <c r="D88" s="212">
        <v>1.0269999999999999</v>
      </c>
      <c r="E88" s="212">
        <v>1.0149999999999999</v>
      </c>
      <c r="F88" s="212">
        <v>1.022</v>
      </c>
      <c r="G88" s="211">
        <v>867</v>
      </c>
    </row>
    <row r="89" spans="1:7" ht="22.5" customHeight="1" x14ac:dyDescent="0.2">
      <c r="A89" s="214" t="s">
        <v>1557</v>
      </c>
      <c r="B89" s="212">
        <v>1.0049999999999999</v>
      </c>
      <c r="C89" s="212">
        <v>1.0029999999999999</v>
      </c>
      <c r="D89" s="212">
        <v>1.0049999999999999</v>
      </c>
      <c r="E89" s="212">
        <v>0.996</v>
      </c>
      <c r="F89" s="212">
        <v>1.004</v>
      </c>
      <c r="G89" s="211">
        <v>868</v>
      </c>
    </row>
    <row r="90" spans="1:7" ht="22.5" customHeight="1" x14ac:dyDescent="0.2">
      <c r="A90" s="214" t="s">
        <v>1558</v>
      </c>
      <c r="B90" s="212">
        <v>1.0329999999999999</v>
      </c>
      <c r="C90" s="212">
        <v>1.0269999999999999</v>
      </c>
      <c r="D90" s="212">
        <v>1.032</v>
      </c>
      <c r="E90" s="212">
        <v>1.0249999999999999</v>
      </c>
      <c r="F90" s="212">
        <v>1.0409999999999999</v>
      </c>
      <c r="G90" s="211">
        <v>869</v>
      </c>
    </row>
    <row r="91" spans="1:7" ht="22.5" customHeight="1" x14ac:dyDescent="0.2">
      <c r="A91" s="214" t="s">
        <v>1559</v>
      </c>
      <c r="B91" s="212">
        <v>1.028</v>
      </c>
      <c r="C91" s="212">
        <v>1.02</v>
      </c>
      <c r="D91" s="212">
        <v>1.04</v>
      </c>
      <c r="E91" s="212">
        <v>1.0189999999999999</v>
      </c>
      <c r="F91" s="212">
        <v>1.036</v>
      </c>
      <c r="G91" s="211">
        <v>870</v>
      </c>
    </row>
    <row r="92" spans="1:7" ht="22.5" customHeight="1" x14ac:dyDescent="0.2">
      <c r="A92" s="214" t="s">
        <v>1560</v>
      </c>
      <c r="B92" s="212">
        <v>1.044</v>
      </c>
      <c r="C92" s="212">
        <v>1.042</v>
      </c>
      <c r="D92" s="212">
        <v>1.044</v>
      </c>
      <c r="E92" s="212">
        <v>1.0429999999999999</v>
      </c>
      <c r="F92" s="212">
        <v>1.0429999999999999</v>
      </c>
      <c r="G92" s="211">
        <v>871</v>
      </c>
    </row>
    <row r="93" spans="1:7" ht="22.5" customHeight="1" x14ac:dyDescent="0.2">
      <c r="A93" s="214" t="s">
        <v>1561</v>
      </c>
      <c r="B93" s="212">
        <v>1.0009999999999999</v>
      </c>
      <c r="C93" s="212">
        <v>1.0009999999999999</v>
      </c>
      <c r="D93" s="212">
        <v>1.0009999999999999</v>
      </c>
      <c r="E93" s="212">
        <v>1.0009999999999999</v>
      </c>
      <c r="F93" s="212">
        <v>1.0009999999999999</v>
      </c>
      <c r="G93" s="211">
        <v>872</v>
      </c>
    </row>
    <row r="94" spans="1:7" ht="22.5" customHeight="1" x14ac:dyDescent="0.2">
      <c r="A94" s="214" t="s">
        <v>1562</v>
      </c>
      <c r="B94" s="212">
        <v>1.0109999999999999</v>
      </c>
      <c r="C94" s="212">
        <v>1.0109999999999999</v>
      </c>
      <c r="D94" s="212">
        <v>1.0109999999999999</v>
      </c>
      <c r="E94" s="212">
        <v>1.0109999999999999</v>
      </c>
      <c r="F94" s="212">
        <v>1.0109999999999999</v>
      </c>
      <c r="G94" s="211">
        <v>874</v>
      </c>
    </row>
    <row r="95" spans="1:7" ht="22.5" customHeight="1" x14ac:dyDescent="0.2">
      <c r="A95" s="214" t="s">
        <v>1563</v>
      </c>
      <c r="B95" s="212">
        <v>1.0169999999999999</v>
      </c>
      <c r="C95" s="212">
        <v>1.0189999999999999</v>
      </c>
      <c r="D95" s="212">
        <v>1.018</v>
      </c>
      <c r="E95" s="212">
        <v>1.0189999999999999</v>
      </c>
      <c r="F95" s="212">
        <v>1.0189999999999999</v>
      </c>
      <c r="G95" s="211">
        <v>875</v>
      </c>
    </row>
    <row r="96" spans="1:7" ht="22.5" customHeight="1" x14ac:dyDescent="0.2">
      <c r="A96" s="214" t="s">
        <v>1564</v>
      </c>
      <c r="B96" s="212">
        <v>1.054</v>
      </c>
      <c r="C96" s="212">
        <v>1.0489999999999999</v>
      </c>
      <c r="D96" s="212">
        <v>1.0529999999999999</v>
      </c>
      <c r="E96" s="212">
        <v>1.05</v>
      </c>
      <c r="F96" s="212">
        <v>1.052</v>
      </c>
      <c r="G96" s="211">
        <v>876</v>
      </c>
    </row>
    <row r="97" spans="1:7" ht="22.5" customHeight="1" x14ac:dyDescent="0.2">
      <c r="A97" s="214" t="s">
        <v>1565</v>
      </c>
      <c r="B97" s="212">
        <v>1.0329999999999999</v>
      </c>
      <c r="C97" s="212">
        <v>1.03</v>
      </c>
      <c r="D97" s="212">
        <v>1.0309999999999999</v>
      </c>
      <c r="E97" s="212">
        <v>1.0309999999999999</v>
      </c>
      <c r="F97" s="212">
        <v>1.03</v>
      </c>
      <c r="G97" s="211">
        <v>877</v>
      </c>
    </row>
    <row r="98" spans="1:7" ht="22.5" customHeight="1" x14ac:dyDescent="0.2">
      <c r="A98" s="214" t="s">
        <v>1566</v>
      </c>
      <c r="B98" s="212">
        <v>1.0189999999999999</v>
      </c>
      <c r="C98" s="212">
        <v>1.0149999999999999</v>
      </c>
      <c r="D98" s="212">
        <v>1.0169999999999999</v>
      </c>
      <c r="E98" s="212">
        <v>1.014</v>
      </c>
      <c r="F98" s="212">
        <v>1.016</v>
      </c>
      <c r="G98" s="211">
        <v>878</v>
      </c>
    </row>
    <row r="99" spans="1:7" ht="22.5" customHeight="1" x14ac:dyDescent="0.2">
      <c r="A99" s="214" t="s">
        <v>1567</v>
      </c>
      <c r="B99" s="212">
        <v>1.008</v>
      </c>
      <c r="C99" s="212">
        <v>1.0069999999999999</v>
      </c>
      <c r="D99" s="212">
        <v>1.0069999999999999</v>
      </c>
      <c r="E99" s="212">
        <v>1.0049999999999999</v>
      </c>
      <c r="F99" s="212">
        <v>1.0069999999999999</v>
      </c>
      <c r="G99" s="211">
        <v>879</v>
      </c>
    </row>
    <row r="100" spans="1:7" ht="22.5" customHeight="1" x14ac:dyDescent="0.2">
      <c r="A100" s="214" t="s">
        <v>1568</v>
      </c>
      <c r="B100" s="212">
        <v>0.99299999999999999</v>
      </c>
      <c r="C100" s="212">
        <v>0.995</v>
      </c>
      <c r="D100" s="212">
        <v>0.98899999999999999</v>
      </c>
      <c r="E100" s="212">
        <v>0.995</v>
      </c>
      <c r="F100" s="212">
        <v>0.99399999999999999</v>
      </c>
      <c r="G100" s="211">
        <v>881</v>
      </c>
    </row>
    <row r="101" spans="1:7" ht="22.5" customHeight="1" x14ac:dyDescent="0.2">
      <c r="A101" s="214" t="s">
        <v>1569</v>
      </c>
      <c r="B101" s="212">
        <v>1.0189999999999999</v>
      </c>
      <c r="C101" s="212">
        <v>1.0149999999999999</v>
      </c>
      <c r="D101" s="212">
        <v>1.0169999999999999</v>
      </c>
      <c r="E101" s="212">
        <v>1.014</v>
      </c>
      <c r="F101" s="212">
        <v>1.016</v>
      </c>
      <c r="G101" s="211">
        <v>883</v>
      </c>
    </row>
    <row r="102" spans="1:7" ht="22.5" customHeight="1" x14ac:dyDescent="0.2">
      <c r="A102" s="214" t="s">
        <v>1570</v>
      </c>
      <c r="B102" s="212">
        <v>1.0129999999999999</v>
      </c>
      <c r="C102" s="212">
        <v>1.01</v>
      </c>
      <c r="D102" s="212">
        <v>1.012</v>
      </c>
      <c r="E102" s="212">
        <v>1.01</v>
      </c>
      <c r="F102" s="212">
        <v>1.012</v>
      </c>
      <c r="G102" s="211">
        <v>884</v>
      </c>
    </row>
    <row r="103" spans="1:7" ht="22.5" customHeight="1" x14ac:dyDescent="0.2">
      <c r="A103" s="214" t="s">
        <v>1571</v>
      </c>
      <c r="B103" s="212">
        <v>1.032</v>
      </c>
      <c r="C103" s="212">
        <v>1.073</v>
      </c>
      <c r="D103" s="212">
        <v>1.0820000000000001</v>
      </c>
      <c r="E103" s="212">
        <v>1.073</v>
      </c>
      <c r="F103" s="212">
        <v>1.079</v>
      </c>
      <c r="G103" s="211">
        <v>887</v>
      </c>
    </row>
    <row r="104" spans="1:7" ht="22.5" customHeight="1" x14ac:dyDescent="0.2">
      <c r="A104" s="214" t="s">
        <v>1572</v>
      </c>
      <c r="B104" s="212">
        <v>1.0149999999999999</v>
      </c>
      <c r="C104" s="212">
        <v>1.0129999999999999</v>
      </c>
      <c r="D104" s="212">
        <v>1.016</v>
      </c>
      <c r="E104" s="212">
        <v>1.014</v>
      </c>
      <c r="F104" s="212">
        <v>1.014</v>
      </c>
      <c r="G104" s="211">
        <v>888</v>
      </c>
    </row>
    <row r="105" spans="1:7" ht="22.5" customHeight="1" x14ac:dyDescent="0.2">
      <c r="A105" s="214" t="s">
        <v>1573</v>
      </c>
      <c r="B105" s="212">
        <v>1.0369999999999999</v>
      </c>
      <c r="C105" s="212">
        <v>1.028</v>
      </c>
      <c r="D105" s="212">
        <v>1.028</v>
      </c>
      <c r="E105" s="212">
        <v>1.028</v>
      </c>
      <c r="F105" s="212">
        <v>1.028</v>
      </c>
      <c r="G105" s="211">
        <v>889</v>
      </c>
    </row>
    <row r="106" spans="1:7" ht="22.5" customHeight="1" x14ac:dyDescent="0.2">
      <c r="A106" s="214" t="s">
        <v>1574</v>
      </c>
      <c r="B106" s="212">
        <v>1.0589999999999999</v>
      </c>
      <c r="C106" s="212">
        <v>1.0349999999999999</v>
      </c>
      <c r="D106" s="212">
        <v>1.054</v>
      </c>
      <c r="E106" s="212">
        <v>1.0409999999999999</v>
      </c>
      <c r="F106" s="212">
        <v>1.0449999999999999</v>
      </c>
      <c r="G106" s="211">
        <v>890</v>
      </c>
    </row>
    <row r="107" spans="1:7" ht="22.5" customHeight="1" x14ac:dyDescent="0.2">
      <c r="A107" s="214" t="s">
        <v>1575</v>
      </c>
      <c r="B107" s="212">
        <v>1.02</v>
      </c>
      <c r="C107" s="212">
        <v>1.0189999999999999</v>
      </c>
      <c r="D107" s="212">
        <v>1.02</v>
      </c>
      <c r="E107" s="212">
        <v>1.0189999999999999</v>
      </c>
      <c r="F107" s="212">
        <v>1.0189999999999999</v>
      </c>
      <c r="G107" s="211">
        <v>891</v>
      </c>
    </row>
    <row r="108" spans="1:7" ht="22.5" customHeight="1" x14ac:dyDescent="0.2">
      <c r="A108" s="214" t="s">
        <v>1576</v>
      </c>
      <c r="B108" s="212">
        <v>1.054</v>
      </c>
      <c r="C108" s="212">
        <v>1.0529999999999999</v>
      </c>
      <c r="D108" s="212">
        <v>1.056</v>
      </c>
      <c r="E108" s="212">
        <v>1.0429999999999999</v>
      </c>
      <c r="F108" s="212">
        <v>1.0309999999999999</v>
      </c>
      <c r="G108" s="211">
        <v>893</v>
      </c>
    </row>
    <row r="109" spans="1:7" ht="22.5" customHeight="1" x14ac:dyDescent="0.2">
      <c r="A109" s="214" t="s">
        <v>1577</v>
      </c>
      <c r="B109" s="212">
        <v>1.026</v>
      </c>
      <c r="C109" s="212">
        <v>1.02</v>
      </c>
      <c r="D109" s="212">
        <v>1.0189999999999999</v>
      </c>
      <c r="E109" s="212">
        <v>1.0169999999999999</v>
      </c>
      <c r="F109" s="212">
        <v>1.0189999999999999</v>
      </c>
      <c r="G109" s="211">
        <v>894</v>
      </c>
    </row>
    <row r="110" spans="1:7" ht="22.5" customHeight="1" x14ac:dyDescent="0.2">
      <c r="A110" s="214" t="s">
        <v>1578</v>
      </c>
      <c r="B110" s="212">
        <v>1.01</v>
      </c>
      <c r="C110" s="212">
        <v>1.006</v>
      </c>
      <c r="D110" s="212">
        <v>1.008</v>
      </c>
      <c r="E110" s="212">
        <v>1.008</v>
      </c>
      <c r="F110" s="212">
        <v>1.0089999999999999</v>
      </c>
      <c r="G110" s="211">
        <v>895</v>
      </c>
    </row>
    <row r="111" spans="1:7" ht="22.5" customHeight="1" x14ac:dyDescent="0.2">
      <c r="A111" s="214" t="s">
        <v>1579</v>
      </c>
      <c r="B111" s="212">
        <v>1.014</v>
      </c>
      <c r="C111" s="212">
        <v>1.01</v>
      </c>
      <c r="D111" s="212">
        <v>1.0129999999999999</v>
      </c>
      <c r="E111" s="212">
        <v>1.0109999999999999</v>
      </c>
      <c r="F111" s="212">
        <v>1.012</v>
      </c>
      <c r="G111" s="211">
        <v>896</v>
      </c>
    </row>
    <row r="112" spans="1:7" ht="22.5" customHeight="1" x14ac:dyDescent="0.2">
      <c r="A112" s="214" t="s">
        <v>1580</v>
      </c>
      <c r="B112" s="212">
        <v>1.0249999999999999</v>
      </c>
      <c r="C112" s="212">
        <v>1.02</v>
      </c>
      <c r="D112" s="212">
        <v>1.022</v>
      </c>
      <c r="E112" s="212">
        <v>1.0209999999999999</v>
      </c>
      <c r="F112" s="212">
        <v>1.0229999999999999</v>
      </c>
      <c r="G112" s="211">
        <v>897</v>
      </c>
    </row>
    <row r="113" spans="1:7" ht="22.5" customHeight="1" x14ac:dyDescent="0.2">
      <c r="A113" s="214" t="s">
        <v>1581</v>
      </c>
      <c r="B113" s="212">
        <v>1.036</v>
      </c>
      <c r="C113" s="212">
        <v>1.0369999999999999</v>
      </c>
      <c r="D113" s="212">
        <v>1.0349999999999999</v>
      </c>
      <c r="E113" s="212">
        <v>1.036</v>
      </c>
      <c r="F113" s="212">
        <v>1.034</v>
      </c>
      <c r="G113" s="211">
        <v>898</v>
      </c>
    </row>
    <row r="114" spans="1:7" ht="22.5" customHeight="1" x14ac:dyDescent="0.2">
      <c r="A114" s="214" t="s">
        <v>1582</v>
      </c>
      <c r="B114" s="212">
        <v>1.026</v>
      </c>
      <c r="C114" s="212">
        <v>1.0189999999999999</v>
      </c>
      <c r="D114" s="212">
        <v>1.028</v>
      </c>
      <c r="E114" s="212">
        <v>1.018</v>
      </c>
      <c r="F114" s="212">
        <v>1.022</v>
      </c>
      <c r="G114" s="211">
        <v>899</v>
      </c>
    </row>
    <row r="115" spans="1:7" ht="22.5" customHeight="1" x14ac:dyDescent="0.2">
      <c r="A115" s="214" t="s">
        <v>1583</v>
      </c>
      <c r="B115" s="212">
        <v>1.006</v>
      </c>
      <c r="C115" s="212">
        <v>1.006</v>
      </c>
      <c r="D115" s="212">
        <v>1.006</v>
      </c>
      <c r="E115" s="212">
        <v>1.006</v>
      </c>
      <c r="F115" s="212">
        <v>1.006</v>
      </c>
      <c r="G115" s="211">
        <v>900</v>
      </c>
    </row>
    <row r="117" spans="1:7" ht="22.5" customHeight="1" x14ac:dyDescent="0.2">
      <c r="A117" s="249" t="s">
        <v>50</v>
      </c>
      <c r="B117" s="291"/>
      <c r="C117" s="291"/>
      <c r="D117" s="291"/>
      <c r="E117" s="291"/>
      <c r="F117" s="291"/>
      <c r="G117" s="250"/>
    </row>
    <row r="118" spans="1:7" ht="22.5" customHeight="1" x14ac:dyDescent="0.2">
      <c r="A118" s="249" t="s">
        <v>11</v>
      </c>
      <c r="B118" s="291"/>
      <c r="C118" s="291"/>
      <c r="D118" s="291"/>
      <c r="E118" s="291"/>
      <c r="F118" s="291"/>
      <c r="G118" s="250"/>
    </row>
    <row r="119" spans="1:7" ht="33" customHeight="1" x14ac:dyDescent="0.2">
      <c r="A119" s="20" t="s">
        <v>9</v>
      </c>
      <c r="B119" s="20" t="s">
        <v>4</v>
      </c>
      <c r="C119" s="20" t="s">
        <v>5</v>
      </c>
      <c r="D119" s="20" t="s">
        <v>6</v>
      </c>
      <c r="E119" s="20" t="s">
        <v>7</v>
      </c>
      <c r="F119" s="20" t="s">
        <v>544</v>
      </c>
      <c r="G119" s="20" t="s">
        <v>8</v>
      </c>
    </row>
    <row r="120" spans="1:7" ht="22.5" customHeight="1" x14ac:dyDescent="0.2">
      <c r="A120" s="214" t="s">
        <v>1584</v>
      </c>
      <c r="B120" s="212">
        <v>1.0589999999999999</v>
      </c>
      <c r="C120" s="212">
        <v>1.0429999999999999</v>
      </c>
      <c r="D120" s="212">
        <v>1.052</v>
      </c>
      <c r="E120" s="212">
        <v>1.0369999999999999</v>
      </c>
      <c r="F120" s="212">
        <v>1.0449999999999999</v>
      </c>
      <c r="G120" s="211">
        <v>691</v>
      </c>
    </row>
    <row r="121" spans="1:7" ht="22.5" customHeight="1" x14ac:dyDescent="0.2">
      <c r="A121" s="214" t="s">
        <v>1585</v>
      </c>
      <c r="B121" s="212">
        <v>1.0589999999999999</v>
      </c>
      <c r="C121" s="212">
        <v>1.0429999999999999</v>
      </c>
      <c r="D121" s="212">
        <v>1.052</v>
      </c>
      <c r="E121" s="212">
        <v>1.0369999999999999</v>
      </c>
      <c r="F121" s="212">
        <v>1.0449999999999999</v>
      </c>
      <c r="G121" s="211">
        <v>692</v>
      </c>
    </row>
    <row r="122" spans="1:7" ht="22.5" customHeight="1" x14ac:dyDescent="0.2">
      <c r="A122" s="214" t="s">
        <v>1586</v>
      </c>
      <c r="B122" s="212">
        <v>0.998</v>
      </c>
      <c r="C122" s="212">
        <v>1</v>
      </c>
      <c r="D122" s="212">
        <v>0.997</v>
      </c>
      <c r="E122" s="212">
        <v>0.997</v>
      </c>
      <c r="F122" s="212">
        <v>0.997</v>
      </c>
      <c r="G122" s="211">
        <v>693</v>
      </c>
    </row>
    <row r="123" spans="1:7" ht="22.5" customHeight="1" x14ac:dyDescent="0.2">
      <c r="A123" s="214" t="s">
        <v>1587</v>
      </c>
      <c r="B123" s="212">
        <v>0.999</v>
      </c>
      <c r="C123" s="212">
        <v>1</v>
      </c>
      <c r="D123" s="212">
        <v>1</v>
      </c>
      <c r="E123" s="212">
        <v>1</v>
      </c>
      <c r="F123" s="212">
        <v>1</v>
      </c>
      <c r="G123" s="211">
        <v>694</v>
      </c>
    </row>
    <row r="124" spans="1:7" ht="22.5" customHeight="1" x14ac:dyDescent="0.2">
      <c r="A124" s="214" t="s">
        <v>1588</v>
      </c>
      <c r="B124" s="212">
        <v>1.0009999999999999</v>
      </c>
      <c r="C124" s="212">
        <v>1</v>
      </c>
      <c r="D124" s="212">
        <v>1</v>
      </c>
      <c r="E124" s="212">
        <v>0.997</v>
      </c>
      <c r="F124" s="212">
        <v>1</v>
      </c>
      <c r="G124" s="211">
        <v>695</v>
      </c>
    </row>
    <row r="125" spans="1:7" ht="22.5" customHeight="1" x14ac:dyDescent="0.2">
      <c r="A125" s="214" t="s">
        <v>1589</v>
      </c>
      <c r="B125" s="212">
        <v>0.999</v>
      </c>
      <c r="C125" s="212">
        <v>0.998</v>
      </c>
      <c r="D125" s="212">
        <v>0.999</v>
      </c>
      <c r="E125" s="212">
        <v>0.999</v>
      </c>
      <c r="F125" s="212">
        <v>0.999</v>
      </c>
      <c r="G125" s="211">
        <v>696</v>
      </c>
    </row>
    <row r="126" spans="1:7" ht="22.5" customHeight="1" x14ac:dyDescent="0.2">
      <c r="A126" s="214" t="s">
        <v>1590</v>
      </c>
      <c r="B126" s="212">
        <v>0.99299999999999999</v>
      </c>
      <c r="C126" s="212">
        <v>0.999</v>
      </c>
      <c r="D126" s="212">
        <v>0.999</v>
      </c>
      <c r="E126" s="212">
        <v>0.999</v>
      </c>
      <c r="F126" s="212">
        <v>0.999</v>
      </c>
      <c r="G126" s="211">
        <v>697</v>
      </c>
    </row>
    <row r="127" spans="1:7" ht="22.5" customHeight="1" x14ac:dyDescent="0.2">
      <c r="A127" s="214" t="s">
        <v>1591</v>
      </c>
      <c r="B127" s="212">
        <v>1</v>
      </c>
      <c r="C127" s="212">
        <v>0.999</v>
      </c>
      <c r="D127" s="212">
        <v>1</v>
      </c>
      <c r="E127" s="212">
        <v>1</v>
      </c>
      <c r="F127" s="212">
        <v>1</v>
      </c>
      <c r="G127" s="211">
        <v>698</v>
      </c>
    </row>
    <row r="128" spans="1:7" ht="22.5" customHeight="1" x14ac:dyDescent="0.2">
      <c r="A128" s="214" t="s">
        <v>1592</v>
      </c>
      <c r="B128" s="212">
        <v>1.006</v>
      </c>
      <c r="C128" s="212">
        <v>1.0049999999999999</v>
      </c>
      <c r="D128" s="212">
        <v>1.006</v>
      </c>
      <c r="E128" s="212">
        <v>1.004</v>
      </c>
      <c r="F128" s="212">
        <v>1.0049999999999999</v>
      </c>
      <c r="G128" s="211">
        <v>699</v>
      </c>
    </row>
    <row r="129" spans="1:7" ht="22.5" customHeight="1" x14ac:dyDescent="0.2">
      <c r="A129" s="214" t="s">
        <v>1593</v>
      </c>
      <c r="B129" s="212">
        <v>1.014</v>
      </c>
      <c r="C129" s="212">
        <v>1.0089999999999999</v>
      </c>
      <c r="D129" s="212">
        <v>1.0129999999999999</v>
      </c>
      <c r="E129" s="212">
        <v>1.0089999999999999</v>
      </c>
      <c r="F129" s="212">
        <v>1.0109999999999999</v>
      </c>
      <c r="G129" s="211">
        <v>700</v>
      </c>
    </row>
    <row r="130" spans="1:7" ht="22.5" customHeight="1" x14ac:dyDescent="0.2">
      <c r="A130" s="214" t="s">
        <v>1594</v>
      </c>
      <c r="B130" s="212">
        <v>1.056</v>
      </c>
      <c r="C130" s="212">
        <v>1.0369999999999999</v>
      </c>
      <c r="D130" s="212">
        <v>1.0369999999999999</v>
      </c>
      <c r="E130" s="212">
        <v>1.03</v>
      </c>
      <c r="F130" s="212">
        <v>1.0449999999999999</v>
      </c>
      <c r="G130" s="211">
        <v>701</v>
      </c>
    </row>
    <row r="131" spans="1:7" ht="22.5" customHeight="1" x14ac:dyDescent="0.2">
      <c r="A131" s="214" t="s">
        <v>1595</v>
      </c>
      <c r="B131" s="212">
        <v>1</v>
      </c>
      <c r="C131" s="212">
        <v>0.99399999999999999</v>
      </c>
      <c r="D131" s="212">
        <v>0.996</v>
      </c>
      <c r="E131" s="212">
        <v>0.999</v>
      </c>
      <c r="F131" s="212">
        <v>0.995</v>
      </c>
      <c r="G131" s="211">
        <v>702</v>
      </c>
    </row>
    <row r="132" spans="1:7" ht="22.5" customHeight="1" x14ac:dyDescent="0.2">
      <c r="A132" s="214" t="s">
        <v>1596</v>
      </c>
      <c r="B132" s="212">
        <v>1.0069999999999999</v>
      </c>
      <c r="C132" s="212">
        <v>1.002</v>
      </c>
      <c r="D132" s="212">
        <v>1.002</v>
      </c>
      <c r="E132" s="212">
        <v>1.0029999999999999</v>
      </c>
      <c r="F132" s="212">
        <v>1.002</v>
      </c>
      <c r="G132" s="211">
        <v>703</v>
      </c>
    </row>
    <row r="133" spans="1:7" ht="22.5" customHeight="1" x14ac:dyDescent="0.2">
      <c r="A133" s="214" t="s">
        <v>1597</v>
      </c>
      <c r="B133" s="212">
        <v>0.99199999999999999</v>
      </c>
      <c r="C133" s="212">
        <v>0.996</v>
      </c>
      <c r="D133" s="212">
        <v>0.99299999999999999</v>
      </c>
      <c r="E133" s="212">
        <v>0.996</v>
      </c>
      <c r="F133" s="212">
        <v>0.995</v>
      </c>
      <c r="G133" s="211">
        <v>704</v>
      </c>
    </row>
    <row r="134" spans="1:7" ht="22.5" customHeight="1" x14ac:dyDescent="0.2">
      <c r="A134" s="214" t="s">
        <v>1598</v>
      </c>
      <c r="B134" s="212">
        <v>1.004</v>
      </c>
      <c r="C134" s="212">
        <v>1.0029999999999999</v>
      </c>
      <c r="D134" s="212">
        <v>1.002</v>
      </c>
      <c r="E134" s="212">
        <v>1.002</v>
      </c>
      <c r="F134" s="212">
        <v>1.0049999999999999</v>
      </c>
      <c r="G134" s="211">
        <v>705</v>
      </c>
    </row>
    <row r="135" spans="1:7" ht="22.5" customHeight="1" x14ac:dyDescent="0.2">
      <c r="A135" s="214" t="s">
        <v>1599</v>
      </c>
      <c r="B135" s="212">
        <v>1.024</v>
      </c>
      <c r="C135" s="212">
        <v>1.0149999999999999</v>
      </c>
      <c r="D135" s="212">
        <v>1.0189999999999999</v>
      </c>
      <c r="E135" s="212">
        <v>1.014</v>
      </c>
      <c r="F135" s="212">
        <v>1.0169999999999999</v>
      </c>
      <c r="G135" s="211">
        <v>706</v>
      </c>
    </row>
    <row r="136" spans="1:7" ht="22.5" customHeight="1" x14ac:dyDescent="0.2">
      <c r="A136" s="214" t="s">
        <v>1600</v>
      </c>
      <c r="B136" s="212">
        <v>1.0109999999999999</v>
      </c>
      <c r="C136" s="212">
        <v>1.0029999999999999</v>
      </c>
      <c r="D136" s="212">
        <v>1.004</v>
      </c>
      <c r="E136" s="212">
        <v>1.006</v>
      </c>
      <c r="F136" s="212">
        <v>1.0049999999999999</v>
      </c>
      <c r="G136" s="211">
        <v>707</v>
      </c>
    </row>
    <row r="137" spans="1:7" ht="22.5" customHeight="1" x14ac:dyDescent="0.2">
      <c r="A137" s="214" t="s">
        <v>1601</v>
      </c>
      <c r="B137" s="212">
        <v>1.0069999999999999</v>
      </c>
      <c r="C137" s="212">
        <v>1.0049999999999999</v>
      </c>
      <c r="D137" s="212">
        <v>1.006</v>
      </c>
      <c r="E137" s="212">
        <v>1.0069999999999999</v>
      </c>
      <c r="F137" s="212">
        <v>1.008</v>
      </c>
      <c r="G137" s="211">
        <v>708</v>
      </c>
    </row>
    <row r="138" spans="1:7" ht="22.5" customHeight="1" x14ac:dyDescent="0.2">
      <c r="A138" s="214" t="s">
        <v>1602</v>
      </c>
      <c r="B138" s="212">
        <v>1.01</v>
      </c>
      <c r="C138" s="212">
        <v>1</v>
      </c>
      <c r="D138" s="212">
        <v>1</v>
      </c>
      <c r="E138" s="212">
        <v>1.0029999999999999</v>
      </c>
      <c r="F138" s="212">
        <v>0.998</v>
      </c>
      <c r="G138" s="211">
        <v>709</v>
      </c>
    </row>
    <row r="139" spans="1:7" ht="22.5" customHeight="1" x14ac:dyDescent="0.2">
      <c r="A139" s="214" t="s">
        <v>1603</v>
      </c>
      <c r="B139" s="212">
        <v>0.995</v>
      </c>
      <c r="C139" s="212">
        <v>0.995</v>
      </c>
      <c r="D139" s="212">
        <v>0.995</v>
      </c>
      <c r="E139" s="212">
        <v>0.995</v>
      </c>
      <c r="F139" s="212">
        <v>0.995</v>
      </c>
      <c r="G139" s="211">
        <v>710</v>
      </c>
    </row>
    <row r="140" spans="1:7" ht="22.5" customHeight="1" x14ac:dyDescent="0.2">
      <c r="A140" s="214" t="s">
        <v>1604</v>
      </c>
      <c r="B140" s="212">
        <v>1.004</v>
      </c>
      <c r="C140" s="212">
        <v>1.004</v>
      </c>
      <c r="D140" s="212">
        <v>1.0029999999999999</v>
      </c>
      <c r="E140" s="212">
        <v>1.004</v>
      </c>
      <c r="F140" s="212">
        <v>1.004</v>
      </c>
      <c r="G140" s="211">
        <v>711</v>
      </c>
    </row>
    <row r="141" spans="1:7" ht="22.5" customHeight="1" x14ac:dyDescent="0.2">
      <c r="A141" s="214" t="s">
        <v>1605</v>
      </c>
      <c r="B141" s="212">
        <v>1.0329999999999999</v>
      </c>
      <c r="C141" s="212">
        <v>1.024</v>
      </c>
      <c r="D141" s="212">
        <v>1.0269999999999999</v>
      </c>
      <c r="E141" s="212">
        <v>1.0189999999999999</v>
      </c>
      <c r="F141" s="212">
        <v>1.034</v>
      </c>
      <c r="G141" s="211">
        <v>712</v>
      </c>
    </row>
    <row r="142" spans="1:7" ht="22.5" customHeight="1" x14ac:dyDescent="0.2">
      <c r="A142" s="214" t="s">
        <v>1606</v>
      </c>
      <c r="B142" s="212">
        <v>1.0389999999999999</v>
      </c>
      <c r="C142" s="212">
        <v>1.0249999999999999</v>
      </c>
      <c r="D142" s="212">
        <v>1.0269999999999999</v>
      </c>
      <c r="E142" s="212">
        <v>1.02</v>
      </c>
      <c r="F142" s="212">
        <v>1.0329999999999999</v>
      </c>
      <c r="G142" s="211">
        <v>713</v>
      </c>
    </row>
    <row r="143" spans="1:7" ht="22.5" customHeight="1" x14ac:dyDescent="0.2">
      <c r="A143" s="214" t="s">
        <v>1607</v>
      </c>
      <c r="B143" s="212">
        <v>1.0269999999999999</v>
      </c>
      <c r="C143" s="212">
        <v>1.022</v>
      </c>
      <c r="D143" s="212">
        <v>1.0249999999999999</v>
      </c>
      <c r="E143" s="212">
        <v>1.022</v>
      </c>
      <c r="F143" s="212">
        <v>1.0289999999999999</v>
      </c>
      <c r="G143" s="211">
        <v>714</v>
      </c>
    </row>
    <row r="144" spans="1:7" ht="22.5" customHeight="1" x14ac:dyDescent="0.2">
      <c r="A144" s="214" t="s">
        <v>1608</v>
      </c>
      <c r="B144" s="212">
        <v>1.0169999999999999</v>
      </c>
      <c r="C144" s="212">
        <v>1.01</v>
      </c>
      <c r="D144" s="212">
        <v>1.0109999999999999</v>
      </c>
      <c r="E144" s="212">
        <v>1.012</v>
      </c>
      <c r="F144" s="212">
        <v>1.014</v>
      </c>
      <c r="G144" s="211">
        <v>715</v>
      </c>
    </row>
    <row r="145" spans="1:7" ht="22.5" customHeight="1" x14ac:dyDescent="0.2">
      <c r="A145" s="214" t="s">
        <v>1609</v>
      </c>
      <c r="B145" s="212">
        <v>1.012</v>
      </c>
      <c r="C145" s="212">
        <v>1.0089999999999999</v>
      </c>
      <c r="D145" s="212">
        <v>1.0089999999999999</v>
      </c>
      <c r="E145" s="212">
        <v>1.0069999999999999</v>
      </c>
      <c r="F145" s="212">
        <v>1.012</v>
      </c>
      <c r="G145" s="211">
        <v>716</v>
      </c>
    </row>
    <row r="146" spans="1:7" ht="22.5" customHeight="1" x14ac:dyDescent="0.2">
      <c r="A146" s="214" t="s">
        <v>1610</v>
      </c>
      <c r="B146" s="212">
        <v>1.0089999999999999</v>
      </c>
      <c r="C146" s="212">
        <v>1.006</v>
      </c>
      <c r="D146" s="212">
        <v>1.0069999999999999</v>
      </c>
      <c r="E146" s="212">
        <v>1.006</v>
      </c>
      <c r="F146" s="212">
        <v>1.0089999999999999</v>
      </c>
      <c r="G146" s="211">
        <v>717</v>
      </c>
    </row>
    <row r="147" spans="1:7" ht="22.5" customHeight="1" x14ac:dyDescent="0.2">
      <c r="A147" s="214" t="s">
        <v>1611</v>
      </c>
      <c r="B147" s="212">
        <v>1.008</v>
      </c>
      <c r="C147" s="212">
        <v>1.004</v>
      </c>
      <c r="D147" s="212">
        <v>1.008</v>
      </c>
      <c r="E147" s="212">
        <v>1.004</v>
      </c>
      <c r="F147" s="212">
        <v>1.006</v>
      </c>
      <c r="G147" s="211">
        <v>718</v>
      </c>
    </row>
    <row r="148" spans="1:7" ht="22.5" customHeight="1" x14ac:dyDescent="0.2">
      <c r="A148" s="214" t="s">
        <v>1612</v>
      </c>
      <c r="B148" s="212">
        <v>1.006</v>
      </c>
      <c r="C148" s="212">
        <v>1.004</v>
      </c>
      <c r="D148" s="212">
        <v>1.004</v>
      </c>
      <c r="E148" s="212">
        <v>1.002</v>
      </c>
      <c r="F148" s="212">
        <v>1.0029999999999999</v>
      </c>
      <c r="G148" s="211">
        <v>719</v>
      </c>
    </row>
    <row r="149" spans="1:7" ht="22.5" customHeight="1" x14ac:dyDescent="0.2">
      <c r="A149" s="214" t="s">
        <v>1613</v>
      </c>
      <c r="B149" s="212">
        <v>1.0009999999999999</v>
      </c>
      <c r="C149" s="212">
        <v>1</v>
      </c>
      <c r="D149" s="212">
        <v>1</v>
      </c>
      <c r="E149" s="212">
        <v>1.002</v>
      </c>
      <c r="F149" s="212">
        <v>1</v>
      </c>
      <c r="G149" s="211">
        <v>720</v>
      </c>
    </row>
    <row r="150" spans="1:7" ht="22.5" customHeight="1" x14ac:dyDescent="0.2">
      <c r="A150" s="214" t="s">
        <v>1614</v>
      </c>
      <c r="B150" s="212">
        <v>0.98799999999999999</v>
      </c>
      <c r="C150" s="212">
        <v>0.99</v>
      </c>
      <c r="D150" s="212">
        <v>0.98799999999999999</v>
      </c>
      <c r="E150" s="212">
        <v>0.98899999999999999</v>
      </c>
      <c r="F150" s="212">
        <v>0.98899999999999999</v>
      </c>
      <c r="G150" s="211">
        <v>721</v>
      </c>
    </row>
    <row r="151" spans="1:7" ht="22.5" customHeight="1" x14ac:dyDescent="0.2">
      <c r="A151" s="214" t="s">
        <v>1615</v>
      </c>
      <c r="B151" s="212">
        <v>1.0009999999999999</v>
      </c>
      <c r="C151" s="212">
        <v>0.999</v>
      </c>
      <c r="D151" s="212">
        <v>1</v>
      </c>
      <c r="E151" s="212">
        <v>0.999</v>
      </c>
      <c r="F151" s="212">
        <v>1</v>
      </c>
      <c r="G151" s="211">
        <v>722</v>
      </c>
    </row>
    <row r="152" spans="1:7" ht="22.5" customHeight="1" x14ac:dyDescent="0.2">
      <c r="A152" s="214" t="s">
        <v>1616</v>
      </c>
      <c r="B152" s="212">
        <v>1.0189999999999999</v>
      </c>
      <c r="C152" s="212">
        <v>1.0149999999999999</v>
      </c>
      <c r="D152" s="212">
        <v>1.0169999999999999</v>
      </c>
      <c r="E152" s="212">
        <v>1.014</v>
      </c>
      <c r="F152" s="212">
        <v>1.016</v>
      </c>
      <c r="G152" s="211">
        <v>724</v>
      </c>
    </row>
    <row r="153" spans="1:7" ht="22.5" customHeight="1" x14ac:dyDescent="0.2">
      <c r="A153" s="214" t="s">
        <v>1617</v>
      </c>
      <c r="B153" s="212">
        <v>1.0029999999999999</v>
      </c>
      <c r="C153" s="212">
        <v>1.002</v>
      </c>
      <c r="D153" s="212">
        <v>1.002</v>
      </c>
      <c r="E153" s="212">
        <v>1.002</v>
      </c>
      <c r="F153" s="212">
        <v>1.0009999999999999</v>
      </c>
      <c r="G153" s="211">
        <v>725</v>
      </c>
    </row>
    <row r="154" spans="1:7" ht="22.5" customHeight="1" x14ac:dyDescent="0.2">
      <c r="A154" s="214" t="s">
        <v>1618</v>
      </c>
      <c r="B154" s="212">
        <v>1.006</v>
      </c>
      <c r="C154" s="212">
        <v>1.0029999999999999</v>
      </c>
      <c r="D154" s="212">
        <v>1.0049999999999999</v>
      </c>
      <c r="E154" s="212">
        <v>1.002</v>
      </c>
      <c r="F154" s="212">
        <v>1.004</v>
      </c>
      <c r="G154" s="211">
        <v>726</v>
      </c>
    </row>
    <row r="155" spans="1:7" ht="22.5" customHeight="1" x14ac:dyDescent="0.2">
      <c r="A155" s="214" t="s">
        <v>1619</v>
      </c>
      <c r="B155" s="212">
        <v>1</v>
      </c>
      <c r="C155" s="212">
        <v>1</v>
      </c>
      <c r="D155" s="212">
        <v>1</v>
      </c>
      <c r="E155" s="212">
        <v>1</v>
      </c>
      <c r="F155" s="212">
        <v>1</v>
      </c>
      <c r="G155" s="211">
        <v>727</v>
      </c>
    </row>
    <row r="156" spans="1:7" ht="22.5" customHeight="1" x14ac:dyDescent="0.2">
      <c r="A156" s="214" t="s">
        <v>1620</v>
      </c>
      <c r="B156" s="212">
        <v>0.97699999999999998</v>
      </c>
      <c r="C156" s="212">
        <v>0.97499999999999998</v>
      </c>
      <c r="D156" s="212">
        <v>0.97599999999999998</v>
      </c>
      <c r="E156" s="212">
        <v>0.97499999999999998</v>
      </c>
      <c r="F156" s="212">
        <v>0.97799999999999998</v>
      </c>
      <c r="G156" s="211">
        <v>728</v>
      </c>
    </row>
    <row r="157" spans="1:7" ht="22.5" customHeight="1" x14ac:dyDescent="0.2">
      <c r="A157" s="214" t="s">
        <v>1621</v>
      </c>
      <c r="B157" s="212">
        <v>1.0189999999999999</v>
      </c>
      <c r="C157" s="212">
        <v>1.0149999999999999</v>
      </c>
      <c r="D157" s="212">
        <v>1.0169999999999999</v>
      </c>
      <c r="E157" s="212">
        <v>1.014</v>
      </c>
      <c r="F157" s="212">
        <v>1.016</v>
      </c>
      <c r="G157" s="211">
        <v>729</v>
      </c>
    </row>
    <row r="158" spans="1:7" ht="22.5" customHeight="1" x14ac:dyDescent="0.2">
      <c r="A158" s="214" t="s">
        <v>1622</v>
      </c>
      <c r="B158" s="212">
        <v>0.999</v>
      </c>
      <c r="C158" s="212">
        <v>0.999</v>
      </c>
      <c r="D158" s="212">
        <v>0.999</v>
      </c>
      <c r="E158" s="212">
        <v>0.999</v>
      </c>
      <c r="F158" s="212">
        <v>0.999</v>
      </c>
      <c r="G158" s="211">
        <v>730</v>
      </c>
    </row>
    <row r="159" spans="1:7" ht="22.5" customHeight="1" x14ac:dyDescent="0.2">
      <c r="A159" s="214" t="s">
        <v>1623</v>
      </c>
      <c r="B159" s="212">
        <v>1.0369999999999999</v>
      </c>
      <c r="C159" s="212">
        <v>1.024</v>
      </c>
      <c r="D159" s="212">
        <v>1.0349999999999999</v>
      </c>
      <c r="E159" s="212">
        <v>1.0249999999999999</v>
      </c>
      <c r="F159" s="212">
        <v>1.032</v>
      </c>
      <c r="G159" s="211">
        <v>731</v>
      </c>
    </row>
    <row r="160" spans="1:7" ht="22.5" customHeight="1" x14ac:dyDescent="0.2">
      <c r="A160" s="214" t="s">
        <v>1624</v>
      </c>
      <c r="B160" s="212">
        <v>1.0189999999999999</v>
      </c>
      <c r="C160" s="212">
        <v>1.0149999999999999</v>
      </c>
      <c r="D160" s="212">
        <v>1.0169999999999999</v>
      </c>
      <c r="E160" s="212">
        <v>1.014</v>
      </c>
      <c r="F160" s="212">
        <v>1.016</v>
      </c>
      <c r="G160" s="211">
        <v>732</v>
      </c>
    </row>
    <row r="161" spans="1:7" ht="22.5" customHeight="1" x14ac:dyDescent="0.2">
      <c r="A161" s="214" t="s">
        <v>1625</v>
      </c>
      <c r="B161" s="212">
        <v>1</v>
      </c>
      <c r="C161" s="212">
        <v>0.998</v>
      </c>
      <c r="D161" s="212">
        <v>0.999</v>
      </c>
      <c r="E161" s="212">
        <v>0.997</v>
      </c>
      <c r="F161" s="212">
        <v>0.999</v>
      </c>
      <c r="G161" s="211">
        <v>733</v>
      </c>
    </row>
    <row r="162" spans="1:7" ht="22.5" customHeight="1" x14ac:dyDescent="0.2">
      <c r="A162" s="214" t="s">
        <v>1626</v>
      </c>
      <c r="B162" s="212">
        <v>0.98799999999999999</v>
      </c>
      <c r="C162" s="212">
        <v>0.99399999999999999</v>
      </c>
      <c r="D162" s="212">
        <v>0.99099999999999999</v>
      </c>
      <c r="E162" s="212">
        <v>0.995</v>
      </c>
      <c r="F162" s="212">
        <v>0.99199999999999999</v>
      </c>
      <c r="G162" s="211">
        <v>734</v>
      </c>
    </row>
    <row r="163" spans="1:7" ht="22.5" customHeight="1" x14ac:dyDescent="0.2">
      <c r="A163" s="214" t="s">
        <v>1627</v>
      </c>
      <c r="B163" s="212">
        <v>1.0069999999999999</v>
      </c>
      <c r="C163" s="212">
        <v>0.997</v>
      </c>
      <c r="D163" s="212">
        <v>1.0009999999999999</v>
      </c>
      <c r="E163" s="212">
        <v>1.004</v>
      </c>
      <c r="F163" s="212">
        <v>0.999</v>
      </c>
      <c r="G163" s="211">
        <v>735</v>
      </c>
    </row>
    <row r="164" spans="1:7" ht="22.5" customHeight="1" x14ac:dyDescent="0.2">
      <c r="A164" s="214" t="s">
        <v>1628</v>
      </c>
      <c r="B164" s="212">
        <v>1.0249999999999999</v>
      </c>
      <c r="C164" s="212">
        <v>1.0169999999999999</v>
      </c>
      <c r="D164" s="212">
        <v>1.026</v>
      </c>
      <c r="E164" s="212">
        <v>1.018</v>
      </c>
      <c r="F164" s="212">
        <v>1.0189999999999999</v>
      </c>
      <c r="G164" s="211">
        <v>736</v>
      </c>
    </row>
    <row r="165" spans="1:7" ht="22.5" customHeight="1" x14ac:dyDescent="0.2">
      <c r="A165" s="214" t="s">
        <v>1629</v>
      </c>
      <c r="B165" s="212">
        <v>1.018</v>
      </c>
      <c r="C165" s="212">
        <v>1.002</v>
      </c>
      <c r="D165" s="212">
        <v>1.01</v>
      </c>
      <c r="E165" s="212">
        <v>1.01</v>
      </c>
      <c r="F165" s="212">
        <v>1.0049999999999999</v>
      </c>
      <c r="G165" s="211">
        <v>737</v>
      </c>
    </row>
    <row r="166" spans="1:7" ht="22.5" customHeight="1" x14ac:dyDescent="0.2">
      <c r="A166" s="214" t="s">
        <v>1630</v>
      </c>
      <c r="B166" s="212">
        <v>0.99199999999999999</v>
      </c>
      <c r="C166" s="212">
        <v>0.97499999999999998</v>
      </c>
      <c r="D166" s="212">
        <v>0.97599999999999998</v>
      </c>
      <c r="E166" s="212">
        <v>0.97299999999999998</v>
      </c>
      <c r="F166" s="212">
        <v>0.97399999999999998</v>
      </c>
      <c r="G166" s="211">
        <v>738</v>
      </c>
    </row>
    <row r="167" spans="1:7" ht="22.5" customHeight="1" x14ac:dyDescent="0.2">
      <c r="A167" s="214" t="s">
        <v>1631</v>
      </c>
      <c r="B167" s="212">
        <v>0.998</v>
      </c>
      <c r="C167" s="212">
        <v>0.98199999999999998</v>
      </c>
      <c r="D167" s="212">
        <v>0.98599999999999999</v>
      </c>
      <c r="E167" s="212">
        <v>0.998</v>
      </c>
      <c r="F167" s="212">
        <v>0.98299999999999998</v>
      </c>
      <c r="G167" s="211">
        <v>739</v>
      </c>
    </row>
    <row r="168" spans="1:7" ht="22.5" customHeight="1" x14ac:dyDescent="0.2">
      <c r="A168" s="214" t="s">
        <v>1632</v>
      </c>
      <c r="B168" s="212">
        <v>1.006</v>
      </c>
      <c r="C168" s="212">
        <v>1.004</v>
      </c>
      <c r="D168" s="212">
        <v>1.0029999999999999</v>
      </c>
      <c r="E168" s="212">
        <v>1.0049999999999999</v>
      </c>
      <c r="F168" s="212">
        <v>1.0029999999999999</v>
      </c>
      <c r="G168" s="211">
        <v>740</v>
      </c>
    </row>
    <row r="169" spans="1:7" ht="22.5" customHeight="1" x14ac:dyDescent="0.2">
      <c r="A169" s="214" t="s">
        <v>1633</v>
      </c>
      <c r="B169" s="212">
        <v>1.022</v>
      </c>
      <c r="C169" s="212">
        <v>1.0109999999999999</v>
      </c>
      <c r="D169" s="212">
        <v>1.0129999999999999</v>
      </c>
      <c r="E169" s="212">
        <v>1.01</v>
      </c>
      <c r="F169" s="212">
        <v>1.0169999999999999</v>
      </c>
      <c r="G169" s="211">
        <v>741</v>
      </c>
    </row>
    <row r="170" spans="1:7" ht="22.5" customHeight="1" x14ac:dyDescent="0.2">
      <c r="A170" s="214" t="s">
        <v>1634</v>
      </c>
      <c r="B170" s="212">
        <v>0.995</v>
      </c>
      <c r="C170" s="212">
        <v>0.98899999999999999</v>
      </c>
      <c r="D170" s="212">
        <v>0.99199999999999999</v>
      </c>
      <c r="E170" s="212">
        <v>0.997</v>
      </c>
      <c r="F170" s="212">
        <v>0.99</v>
      </c>
      <c r="G170" s="211">
        <v>742</v>
      </c>
    </row>
    <row r="171" spans="1:7" ht="22.5" customHeight="1" x14ac:dyDescent="0.2">
      <c r="A171" s="214" t="s">
        <v>1635</v>
      </c>
      <c r="B171" s="212">
        <v>1.002</v>
      </c>
      <c r="C171" s="212">
        <v>1.002</v>
      </c>
      <c r="D171" s="212">
        <v>1.002</v>
      </c>
      <c r="E171" s="212">
        <v>1.0009999999999999</v>
      </c>
      <c r="F171" s="212">
        <v>1.004</v>
      </c>
      <c r="G171" s="211">
        <v>743</v>
      </c>
    </row>
    <row r="172" spans="1:7" ht="22.5" customHeight="1" x14ac:dyDescent="0.2">
      <c r="A172" s="214" t="s">
        <v>1636</v>
      </c>
      <c r="B172" s="212">
        <v>1.0109999999999999</v>
      </c>
      <c r="C172" s="212">
        <v>1.0089999999999999</v>
      </c>
      <c r="D172" s="212">
        <v>1.0089999999999999</v>
      </c>
      <c r="E172" s="212">
        <v>1.01</v>
      </c>
      <c r="F172" s="212">
        <v>1.0109999999999999</v>
      </c>
      <c r="G172" s="211">
        <v>744</v>
      </c>
    </row>
    <row r="173" spans="1:7" ht="22.5" customHeight="1" x14ac:dyDescent="0.2">
      <c r="A173" s="214" t="s">
        <v>1637</v>
      </c>
      <c r="B173" s="212">
        <v>0.999</v>
      </c>
      <c r="C173" s="212">
        <v>0.996</v>
      </c>
      <c r="D173" s="212">
        <v>0.998</v>
      </c>
      <c r="E173" s="212">
        <v>0.999</v>
      </c>
      <c r="F173" s="212">
        <v>0.997</v>
      </c>
      <c r="G173" s="211">
        <v>745</v>
      </c>
    </row>
    <row r="174" spans="1:7" ht="22.5" customHeight="1" x14ac:dyDescent="0.2">
      <c r="A174" s="214" t="s">
        <v>1638</v>
      </c>
      <c r="B174" s="212">
        <v>1</v>
      </c>
      <c r="C174" s="212">
        <v>1</v>
      </c>
      <c r="D174" s="212">
        <v>0.999</v>
      </c>
      <c r="E174" s="212">
        <v>1</v>
      </c>
      <c r="F174" s="212">
        <v>1</v>
      </c>
      <c r="G174" s="211">
        <v>746</v>
      </c>
    </row>
    <row r="175" spans="1:7" ht="22.5" customHeight="1" x14ac:dyDescent="0.2">
      <c r="A175" s="214" t="s">
        <v>1639</v>
      </c>
      <c r="B175" s="212">
        <v>1.008</v>
      </c>
      <c r="C175" s="212">
        <v>1</v>
      </c>
      <c r="D175" s="212">
        <v>1.002</v>
      </c>
      <c r="E175" s="212">
        <v>1.0029999999999999</v>
      </c>
      <c r="F175" s="212">
        <v>1.0009999999999999</v>
      </c>
      <c r="G175" s="211">
        <v>747</v>
      </c>
    </row>
    <row r="176" spans="1:7" ht="22.5" customHeight="1" x14ac:dyDescent="0.2">
      <c r="A176" s="214" t="s">
        <v>1640</v>
      </c>
      <c r="B176" s="212">
        <v>1.008</v>
      </c>
      <c r="C176" s="212">
        <v>1.006</v>
      </c>
      <c r="D176" s="212">
        <v>1.008</v>
      </c>
      <c r="E176" s="212">
        <v>1.0069999999999999</v>
      </c>
      <c r="F176" s="212">
        <v>1.0089999999999999</v>
      </c>
      <c r="G176" s="211">
        <v>748</v>
      </c>
    </row>
    <row r="177" spans="1:7" ht="22.5" customHeight="1" x14ac:dyDescent="0.2">
      <c r="A177" s="214" t="s">
        <v>1641</v>
      </c>
      <c r="B177" s="212">
        <v>1.006</v>
      </c>
      <c r="C177" s="212">
        <v>0.99099999999999999</v>
      </c>
      <c r="D177" s="212">
        <v>0.995</v>
      </c>
      <c r="E177" s="212">
        <v>1.0049999999999999</v>
      </c>
      <c r="F177" s="212">
        <v>0.99299999999999999</v>
      </c>
      <c r="G177" s="211">
        <v>749</v>
      </c>
    </row>
    <row r="178" spans="1:7" ht="22.5" customHeight="1" x14ac:dyDescent="0.2">
      <c r="A178" s="214" t="s">
        <v>1642</v>
      </c>
      <c r="B178" s="212">
        <v>1</v>
      </c>
      <c r="C178" s="212">
        <v>0.999</v>
      </c>
      <c r="D178" s="212">
        <v>0.999</v>
      </c>
      <c r="E178" s="212">
        <v>1</v>
      </c>
      <c r="F178" s="212">
        <v>0.999</v>
      </c>
      <c r="G178" s="211">
        <v>750</v>
      </c>
    </row>
    <row r="179" spans="1:7" ht="22.5" customHeight="1" x14ac:dyDescent="0.2">
      <c r="A179" s="214" t="s">
        <v>1643</v>
      </c>
      <c r="B179" s="212">
        <v>1.0009999999999999</v>
      </c>
      <c r="C179" s="212">
        <v>1</v>
      </c>
      <c r="D179" s="212">
        <v>1</v>
      </c>
      <c r="E179" s="212">
        <v>1</v>
      </c>
      <c r="F179" s="212">
        <v>1</v>
      </c>
      <c r="G179" s="211">
        <v>751</v>
      </c>
    </row>
    <row r="180" spans="1:7" ht="22.5" customHeight="1" x14ac:dyDescent="0.2">
      <c r="A180" s="214" t="s">
        <v>1644</v>
      </c>
      <c r="B180" s="212">
        <v>1.014</v>
      </c>
      <c r="C180" s="212">
        <v>1.006</v>
      </c>
      <c r="D180" s="212">
        <v>1.008</v>
      </c>
      <c r="E180" s="212">
        <v>1.008</v>
      </c>
      <c r="F180" s="212">
        <v>1.01</v>
      </c>
      <c r="G180" s="211">
        <v>752</v>
      </c>
    </row>
    <row r="181" spans="1:7" ht="22.5" customHeight="1" x14ac:dyDescent="0.2">
      <c r="A181" s="214" t="s">
        <v>1645</v>
      </c>
      <c r="B181" s="212">
        <v>1.0029999999999999</v>
      </c>
      <c r="C181" s="212">
        <v>0.999</v>
      </c>
      <c r="D181" s="212">
        <v>1.002</v>
      </c>
      <c r="E181" s="212">
        <v>1.002</v>
      </c>
      <c r="F181" s="212">
        <v>1.0009999999999999</v>
      </c>
      <c r="G181" s="211">
        <v>753</v>
      </c>
    </row>
    <row r="182" spans="1:7" ht="22.5" customHeight="1" x14ac:dyDescent="0.2">
      <c r="A182" s="214" t="s">
        <v>1646</v>
      </c>
      <c r="B182" s="212">
        <v>1.0169999999999999</v>
      </c>
      <c r="C182" s="212">
        <v>1.01</v>
      </c>
      <c r="D182" s="212">
        <v>1.0089999999999999</v>
      </c>
      <c r="E182" s="212">
        <v>1.0089999999999999</v>
      </c>
      <c r="F182" s="212">
        <v>1.01</v>
      </c>
      <c r="G182" s="211">
        <v>754</v>
      </c>
    </row>
    <row r="183" spans="1:7" ht="22.5" customHeight="1" x14ac:dyDescent="0.2">
      <c r="A183" s="214" t="s">
        <v>1647</v>
      </c>
      <c r="B183" s="212">
        <v>0.999</v>
      </c>
      <c r="C183" s="212">
        <v>0.99399999999999999</v>
      </c>
      <c r="D183" s="212">
        <v>0.996</v>
      </c>
      <c r="E183" s="212">
        <v>0.999</v>
      </c>
      <c r="F183" s="212">
        <v>0.995</v>
      </c>
      <c r="G183" s="211">
        <v>755</v>
      </c>
    </row>
    <row r="185" spans="1:7" x14ac:dyDescent="0.2">
      <c r="A185" s="288" t="s">
        <v>1648</v>
      </c>
      <c r="B185" s="289"/>
      <c r="C185" s="289"/>
      <c r="D185" s="289"/>
      <c r="E185" s="289"/>
      <c r="F185" s="289"/>
      <c r="G185" s="290"/>
    </row>
    <row r="186" spans="1:7" x14ac:dyDescent="0.2">
      <c r="A186" s="210" t="s">
        <v>1649</v>
      </c>
      <c r="B186" s="210" t="s">
        <v>9</v>
      </c>
      <c r="C186" s="210" t="s">
        <v>4</v>
      </c>
      <c r="D186" s="210" t="s">
        <v>5</v>
      </c>
      <c r="E186" s="210" t="s">
        <v>6</v>
      </c>
      <c r="F186" s="210" t="s">
        <v>7</v>
      </c>
      <c r="G186" s="210" t="s">
        <v>544</v>
      </c>
    </row>
    <row r="187" spans="1:7" x14ac:dyDescent="0.2">
      <c r="A187" s="215">
        <v>1032</v>
      </c>
      <c r="B187" s="213" t="s">
        <v>1650</v>
      </c>
      <c r="C187" s="213">
        <v>1.018</v>
      </c>
      <c r="D187" s="213">
        <v>1.014</v>
      </c>
      <c r="E187" s="213">
        <v>1.0169999999999999</v>
      </c>
      <c r="F187" s="213">
        <v>1.0129999999999999</v>
      </c>
      <c r="G187" s="213">
        <v>1.0149999999999999</v>
      </c>
    </row>
    <row r="188" spans="1:7" x14ac:dyDescent="0.2">
      <c r="A188" s="215">
        <v>1630</v>
      </c>
      <c r="B188" s="213" t="s">
        <v>1651</v>
      </c>
      <c r="C188" s="213">
        <v>1.006</v>
      </c>
      <c r="D188" s="213">
        <v>1.0049999999999999</v>
      </c>
      <c r="E188" s="213">
        <v>1.006</v>
      </c>
      <c r="F188" s="213">
        <v>1.0049999999999999</v>
      </c>
      <c r="G188" s="213">
        <v>1.006</v>
      </c>
    </row>
    <row r="189" spans="1:7" ht="25.5" x14ac:dyDescent="0.2">
      <c r="A189" s="215">
        <v>7104</v>
      </c>
      <c r="B189" s="213" t="s">
        <v>1652</v>
      </c>
      <c r="C189" s="213">
        <v>1.004</v>
      </c>
      <c r="D189" s="213">
        <v>1</v>
      </c>
      <c r="E189" s="213">
        <v>1.0029999999999999</v>
      </c>
      <c r="F189" s="213">
        <v>1</v>
      </c>
      <c r="G189" s="213">
        <v>1.0029999999999999</v>
      </c>
    </row>
    <row r="190" spans="1:7" ht="25.5" x14ac:dyDescent="0.2">
      <c r="A190" s="215">
        <v>7105</v>
      </c>
      <c r="B190" s="213" t="s">
        <v>1653</v>
      </c>
      <c r="C190" s="213">
        <v>1.0569999999999999</v>
      </c>
      <c r="D190" s="213">
        <v>1.042</v>
      </c>
      <c r="E190" s="213">
        <v>1.0509999999999999</v>
      </c>
      <c r="F190" s="213">
        <v>1.036</v>
      </c>
      <c r="G190" s="213">
        <v>1.044</v>
      </c>
    </row>
    <row r="191" spans="1:7" x14ac:dyDescent="0.2">
      <c r="A191" s="215">
        <v>7160</v>
      </c>
      <c r="B191" s="213" t="s">
        <v>1654</v>
      </c>
      <c r="C191" s="213">
        <v>1.0589999999999999</v>
      </c>
      <c r="D191" s="213">
        <v>1.0429999999999999</v>
      </c>
      <c r="E191" s="213">
        <v>1.052</v>
      </c>
      <c r="F191" s="213">
        <v>1.0369999999999999</v>
      </c>
      <c r="G191" s="213">
        <v>1.0449999999999999</v>
      </c>
    </row>
    <row r="192" spans="1:7" x14ac:dyDescent="0.2">
      <c r="A192" s="215">
        <v>7425</v>
      </c>
      <c r="B192" s="213" t="s">
        <v>1779</v>
      </c>
      <c r="C192" s="213">
        <v>1.0189999999999999</v>
      </c>
      <c r="D192" s="213">
        <v>1.0149999999999999</v>
      </c>
      <c r="E192" s="213">
        <v>1.0169999999999999</v>
      </c>
      <c r="F192" s="213">
        <v>1.014</v>
      </c>
      <c r="G192" s="213">
        <v>1.016</v>
      </c>
    </row>
    <row r="193" spans="1:7" x14ac:dyDescent="0.2">
      <c r="A193" s="215">
        <v>7436</v>
      </c>
      <c r="B193" s="213" t="s">
        <v>1779</v>
      </c>
      <c r="C193" s="213">
        <v>1.0189999999999999</v>
      </c>
      <c r="D193" s="213">
        <v>1.0149999999999999</v>
      </c>
      <c r="E193" s="213">
        <v>1.0169999999999999</v>
      </c>
      <c r="F193" s="213">
        <v>1.014</v>
      </c>
      <c r="G193" s="213">
        <v>1.016</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185:G185"/>
    <mergeCell ref="A23:G23"/>
    <mergeCell ref="A117:G117"/>
    <mergeCell ref="A118:G118"/>
    <mergeCell ref="C10:G10"/>
    <mergeCell ref="A13:G13"/>
    <mergeCell ref="A12:G12"/>
    <mergeCell ref="A22:G22"/>
    <mergeCell ref="A9:B9"/>
    <mergeCell ref="A10:B10"/>
    <mergeCell ref="A2:E2"/>
    <mergeCell ref="A4:B5"/>
    <mergeCell ref="A6:B6"/>
    <mergeCell ref="A7:B7"/>
    <mergeCell ref="A8:B8"/>
    <mergeCell ref="A3:G3"/>
  </mergeCells>
  <phoneticPr fontId="10" type="noConversion"/>
  <hyperlinks>
    <hyperlink ref="A1" location="Overview!A1" display="Back to Overview"/>
  </hyperlinks>
  <pageMargins left="0.70866141732283472" right="0.70866141732283472" top="0.74803149606299213" bottom="0.74803149606299213" header="0.31496062992125984" footer="0.31496062992125984"/>
  <pageSetup paperSize="9" scale="54" fitToHeight="0" orientation="portrait" r:id="rId2"/>
  <headerFooter differentFirst="1" scaleWithDoc="0">
    <oddFooter>&amp;R&amp;P of &amp;N</oddFooter>
    <firstHeader>&amp;L
Annex 5 – Schedule of Line Loss Factors</firstHeader>
    <firstFooter>&amp;R&amp;P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R29"/>
  <sheetViews>
    <sheetView topLeftCell="H1" zoomScale="80" zoomScaleNormal="80" zoomScaleSheetLayoutView="85" workbookViewId="0">
      <selection activeCell="N12" sqref="N12"/>
    </sheetView>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8" customWidth="1"/>
    <col min="12" max="13" width="15.5703125" style="4" customWidth="1"/>
    <col min="14" max="16" width="15.5703125" style="2" customWidth="1"/>
    <col min="17" max="18" width="15.140625" style="2" customWidth="1"/>
    <col min="19" max="16384" width="9.140625" style="2"/>
  </cols>
  <sheetData>
    <row r="1" spans="1:16" ht="100.5" customHeight="1" x14ac:dyDescent="0.2">
      <c r="A1" s="13" t="s">
        <v>18</v>
      </c>
      <c r="B1" s="13"/>
      <c r="C1" s="13"/>
      <c r="D1" s="13"/>
      <c r="G1" s="22"/>
      <c r="H1" s="292" t="s">
        <v>139</v>
      </c>
      <c r="I1" s="293"/>
    </row>
    <row r="2" spans="1:16" ht="27.75" customHeight="1" x14ac:dyDescent="0.2">
      <c r="A2" s="261" t="s">
        <v>138</v>
      </c>
      <c r="B2" s="262"/>
      <c r="C2" s="262"/>
      <c r="D2" s="262"/>
      <c r="E2" s="262"/>
      <c r="F2" s="262"/>
      <c r="G2" s="262"/>
      <c r="H2" s="262"/>
      <c r="I2" s="262"/>
      <c r="J2" s="262"/>
      <c r="K2" s="262"/>
      <c r="L2" s="262"/>
      <c r="M2" s="262"/>
      <c r="N2" s="262"/>
      <c r="O2" s="262"/>
      <c r="P2" s="263"/>
    </row>
    <row r="3" spans="1:16" ht="17.25" customHeight="1" x14ac:dyDescent="0.2">
      <c r="A3" s="13"/>
      <c r="B3" s="13"/>
      <c r="C3" s="13"/>
      <c r="D3" s="13"/>
      <c r="G3" s="22"/>
    </row>
    <row r="4" spans="1:16" s="9" customFormat="1" ht="25.5" customHeight="1" x14ac:dyDescent="0.2">
      <c r="A4" s="261" t="str">
        <f>Overview!B4&amp; " - Effective from "&amp;Overview!D4&amp;" - "&amp;Overview!E4&amp;" new designated EHV charges"</f>
        <v>South Eastern Power Networks - Effective from 1 April 2021 - Final new designated EHV charges</v>
      </c>
      <c r="B4" s="262"/>
      <c r="C4" s="262"/>
      <c r="D4" s="262"/>
      <c r="E4" s="262"/>
      <c r="F4" s="262"/>
      <c r="G4" s="262"/>
      <c r="H4" s="262"/>
      <c r="I4" s="262"/>
      <c r="J4" s="262"/>
      <c r="K4" s="262"/>
      <c r="L4" s="262"/>
      <c r="M4" s="262"/>
      <c r="N4" s="262"/>
      <c r="O4" s="262"/>
      <c r="P4" s="263"/>
    </row>
    <row r="5" spans="1:16" ht="69.75" customHeight="1" x14ac:dyDescent="0.2">
      <c r="A5" s="26" t="s">
        <v>142</v>
      </c>
      <c r="B5" s="26" t="s">
        <v>52</v>
      </c>
      <c r="C5" s="26" t="s">
        <v>35</v>
      </c>
      <c r="D5" s="26" t="s">
        <v>36</v>
      </c>
      <c r="E5" s="26" t="s">
        <v>53</v>
      </c>
      <c r="F5" s="26" t="s">
        <v>35</v>
      </c>
      <c r="G5" s="26" t="s">
        <v>37</v>
      </c>
      <c r="H5" s="65" t="s">
        <v>29</v>
      </c>
      <c r="I5" s="65" t="str">
        <f>'Annex 2 EHV charges'!H9</f>
        <v>Import
Super Red
unit charge
(p/kWh)</v>
      </c>
      <c r="J5" s="65" t="str">
        <f>'Annex 2 EHV charges'!I9</f>
        <v>Import
fixed charge
(p/day)</v>
      </c>
      <c r="K5" s="65" t="str">
        <f>'Annex 2 EHV charges'!J9</f>
        <v>Import
capacity charge
(p/kVA/day)</v>
      </c>
      <c r="L5" s="65" t="str">
        <f>'Annex 2 EHV charges'!K9</f>
        <v>Import
exceeded capacity charge
(p/kVA/day)</v>
      </c>
      <c r="M5" s="65" t="str">
        <f>'Annex 2 EHV charges'!L9</f>
        <v>Export
Super Red
unit charge
(p/kWh)</v>
      </c>
      <c r="N5" s="65" t="str">
        <f>'Annex 2 EHV charges'!M9</f>
        <v>Export
fixed charge
(p/day)</v>
      </c>
      <c r="O5" s="65" t="str">
        <f>'Annex 2 EHV charges'!N9</f>
        <v>Export
capacity charge
(p/kVA/day)</v>
      </c>
      <c r="P5" s="65" t="str">
        <f>'Annex 2 EHV charges'!O9</f>
        <v>Export
exceeded capacity charge
(p/kVA/day)</v>
      </c>
    </row>
    <row r="6" spans="1:16" ht="22.5" customHeight="1" x14ac:dyDescent="0.2">
      <c r="A6" s="208">
        <v>44287</v>
      </c>
      <c r="B6" s="197" t="s">
        <v>1462</v>
      </c>
      <c r="C6" s="198" t="s">
        <v>1463</v>
      </c>
      <c r="D6" s="199" t="s">
        <v>1465</v>
      </c>
      <c r="E6" s="200" t="s">
        <v>1462</v>
      </c>
      <c r="F6" s="201" t="s">
        <v>1464</v>
      </c>
      <c r="G6" s="199" t="s">
        <v>1466</v>
      </c>
      <c r="H6" s="202" t="s">
        <v>1462</v>
      </c>
      <c r="I6" s="203">
        <v>0.73199999999999998</v>
      </c>
      <c r="J6" s="204">
        <v>35.869999999999997</v>
      </c>
      <c r="K6" s="204">
        <v>1.78</v>
      </c>
      <c r="L6" s="204">
        <v>1.78</v>
      </c>
      <c r="M6" s="205">
        <v>-1.238</v>
      </c>
      <c r="N6" s="206">
        <v>956.47</v>
      </c>
      <c r="O6" s="207">
        <v>0.05</v>
      </c>
      <c r="P6" s="207">
        <v>0.05</v>
      </c>
    </row>
    <row r="7" spans="1:16" ht="22.5" customHeight="1" x14ac:dyDescent="0.2">
      <c r="A7" s="208">
        <v>44287</v>
      </c>
      <c r="B7" s="197" t="s">
        <v>615</v>
      </c>
      <c r="C7" s="198">
        <v>844</v>
      </c>
      <c r="D7" s="199">
        <v>1900091523301</v>
      </c>
      <c r="E7" s="200" t="s">
        <v>615</v>
      </c>
      <c r="F7" s="201">
        <v>697</v>
      </c>
      <c r="G7" s="199">
        <v>1900091523310</v>
      </c>
      <c r="H7" s="202" t="s">
        <v>615</v>
      </c>
      <c r="I7" s="203">
        <v>0</v>
      </c>
      <c r="J7" s="204">
        <v>384.06</v>
      </c>
      <c r="K7" s="204">
        <v>0.67</v>
      </c>
      <c r="L7" s="204">
        <v>0.67</v>
      </c>
      <c r="M7" s="205">
        <v>0</v>
      </c>
      <c r="N7" s="206">
        <v>384.06</v>
      </c>
      <c r="O7" s="207">
        <v>0.05</v>
      </c>
      <c r="P7" s="207">
        <v>0.05</v>
      </c>
    </row>
    <row r="8" spans="1:16" s="22" customFormat="1" ht="22.5" customHeight="1" x14ac:dyDescent="0.2">
      <c r="A8" s="208">
        <v>44287</v>
      </c>
      <c r="B8" s="197" t="s">
        <v>1776</v>
      </c>
      <c r="C8" s="198"/>
      <c r="D8" s="199" t="s">
        <v>1777</v>
      </c>
      <c r="E8" s="200" t="s">
        <v>1776</v>
      </c>
      <c r="F8" s="201"/>
      <c r="G8" s="199" t="s">
        <v>1778</v>
      </c>
      <c r="H8" s="202" t="s">
        <v>1776</v>
      </c>
      <c r="I8" s="203">
        <v>2.8719999999999999</v>
      </c>
      <c r="J8" s="204">
        <v>738.2</v>
      </c>
      <c r="K8" s="204">
        <v>1.05</v>
      </c>
      <c r="L8" s="204">
        <v>1.05</v>
      </c>
      <c r="M8" s="205">
        <v>-2.8839999999999999</v>
      </c>
      <c r="N8" s="206">
        <v>777.28</v>
      </c>
      <c r="O8" s="207">
        <v>0.05</v>
      </c>
      <c r="P8" s="207">
        <v>0.05</v>
      </c>
    </row>
    <row r="9" spans="1:16" ht="22.5" customHeight="1" x14ac:dyDescent="0.2">
      <c r="A9" s="208">
        <v>44378</v>
      </c>
      <c r="B9" s="197" t="s">
        <v>1776</v>
      </c>
      <c r="C9" s="198"/>
      <c r="D9" s="199" t="s">
        <v>1777</v>
      </c>
      <c r="E9" s="200" t="s">
        <v>1776</v>
      </c>
      <c r="F9" s="201"/>
      <c r="G9" s="199" t="s">
        <v>1778</v>
      </c>
      <c r="H9" s="202" t="s">
        <v>1776</v>
      </c>
      <c r="I9" s="203">
        <v>2.8719999999999999</v>
      </c>
      <c r="J9" s="204">
        <v>737.74</v>
      </c>
      <c r="K9" s="204">
        <v>0.69</v>
      </c>
      <c r="L9" s="204">
        <v>0.69</v>
      </c>
      <c r="M9" s="205">
        <v>-2.8839999999999999</v>
      </c>
      <c r="N9" s="206">
        <v>776.79</v>
      </c>
      <c r="O9" s="207">
        <v>0.05</v>
      </c>
      <c r="P9" s="207">
        <v>0.05</v>
      </c>
    </row>
    <row r="10" spans="1:16" ht="22.5" customHeight="1" x14ac:dyDescent="0.2">
      <c r="A10" s="208">
        <v>44409</v>
      </c>
      <c r="B10" s="197" t="s">
        <v>600</v>
      </c>
      <c r="C10" s="198">
        <v>841</v>
      </c>
      <c r="D10" s="199">
        <v>1900091632775</v>
      </c>
      <c r="E10" s="200" t="s">
        <v>600</v>
      </c>
      <c r="F10" s="201">
        <v>694</v>
      </c>
      <c r="G10" s="199">
        <v>1900091632784</v>
      </c>
      <c r="H10" s="202" t="s">
        <v>600</v>
      </c>
      <c r="I10" s="203">
        <v>0.16800000000000001</v>
      </c>
      <c r="J10" s="204">
        <v>345.23</v>
      </c>
      <c r="K10" s="204">
        <v>0.56999999999999995</v>
      </c>
      <c r="L10" s="204">
        <v>0.56999999999999995</v>
      </c>
      <c r="M10" s="205">
        <v>-0.20899999999999999</v>
      </c>
      <c r="N10" s="206">
        <v>345.23</v>
      </c>
      <c r="O10" s="207">
        <v>0.05</v>
      </c>
      <c r="P10" s="207">
        <v>0.05</v>
      </c>
    </row>
    <row r="11" spans="1:16" ht="22.5" customHeight="1" x14ac:dyDescent="0.2">
      <c r="A11" s="208">
        <v>44409</v>
      </c>
      <c r="B11" s="197" t="s">
        <v>604</v>
      </c>
      <c r="C11" s="198">
        <v>842</v>
      </c>
      <c r="D11" s="199">
        <v>1900091566810</v>
      </c>
      <c r="E11" s="200" t="s">
        <v>604</v>
      </c>
      <c r="F11" s="201">
        <v>695</v>
      </c>
      <c r="G11" s="199">
        <v>1900091566820</v>
      </c>
      <c r="H11" s="202" t="s">
        <v>604</v>
      </c>
      <c r="I11" s="203">
        <v>7.4999999999999997E-2</v>
      </c>
      <c r="J11" s="204">
        <v>345.23</v>
      </c>
      <c r="K11" s="204">
        <v>0.83</v>
      </c>
      <c r="L11" s="204">
        <v>0.83</v>
      </c>
      <c r="M11" s="205">
        <v>-8.5000000000000006E-2</v>
      </c>
      <c r="N11" s="206">
        <v>345.23</v>
      </c>
      <c r="O11" s="207">
        <v>0.05</v>
      </c>
      <c r="P11" s="207">
        <v>0.05</v>
      </c>
    </row>
    <row r="12" spans="1:16" ht="22.5" customHeight="1" x14ac:dyDescent="0.2">
      <c r="A12" s="208"/>
      <c r="B12" s="197"/>
      <c r="C12" s="198"/>
      <c r="D12" s="199"/>
      <c r="E12" s="200"/>
      <c r="F12" s="201"/>
      <c r="G12" s="199"/>
      <c r="H12" s="202"/>
      <c r="I12" s="203"/>
      <c r="J12" s="204"/>
      <c r="K12" s="204"/>
      <c r="L12" s="204"/>
      <c r="M12" s="205"/>
      <c r="N12" s="206"/>
      <c r="O12" s="207"/>
      <c r="P12" s="207"/>
    </row>
    <row r="13" spans="1:16" ht="22.5" customHeight="1" x14ac:dyDescent="0.2">
      <c r="A13" s="208"/>
      <c r="B13" s="197"/>
      <c r="C13" s="198"/>
      <c r="D13" s="199"/>
      <c r="E13" s="200"/>
      <c r="F13" s="201"/>
      <c r="G13" s="199"/>
      <c r="H13" s="202"/>
      <c r="I13" s="203"/>
      <c r="J13" s="204"/>
      <c r="K13" s="204"/>
      <c r="L13" s="204"/>
      <c r="M13" s="205"/>
      <c r="N13" s="206"/>
      <c r="O13" s="207"/>
      <c r="P13" s="207"/>
    </row>
    <row r="14" spans="1:16" ht="22.5" customHeight="1" x14ac:dyDescent="0.2">
      <c r="A14" s="208"/>
      <c r="B14" s="197"/>
      <c r="C14" s="198"/>
      <c r="D14" s="199"/>
      <c r="E14" s="200"/>
      <c r="F14" s="201"/>
      <c r="G14" s="199"/>
      <c r="H14" s="202"/>
      <c r="I14" s="203"/>
      <c r="J14" s="204"/>
      <c r="K14" s="204"/>
      <c r="L14" s="204"/>
      <c r="M14" s="205"/>
      <c r="N14" s="206"/>
      <c r="O14" s="207"/>
      <c r="P14" s="207"/>
    </row>
    <row r="15" spans="1:16" ht="22.5" customHeight="1" x14ac:dyDescent="0.2">
      <c r="A15" s="208"/>
      <c r="B15" s="197"/>
      <c r="C15" s="198"/>
      <c r="D15" s="199"/>
      <c r="E15" s="200"/>
      <c r="F15" s="201"/>
      <c r="G15" s="199"/>
      <c r="H15" s="202"/>
      <c r="I15" s="203"/>
      <c r="J15" s="204"/>
      <c r="K15" s="204"/>
      <c r="L15" s="204"/>
      <c r="M15" s="205"/>
      <c r="N15" s="206"/>
      <c r="O15" s="207"/>
      <c r="P15" s="207"/>
    </row>
    <row r="17" spans="1:18" ht="27.75" customHeight="1" x14ac:dyDescent="0.2">
      <c r="A17" s="261" t="str">
        <f>Overview!B4&amp; " - Effective from "&amp;Overview!D4&amp;" - "&amp;Overview!E4&amp;" new designated EHV line loss factors"</f>
        <v>South Eastern Power Networks - Effective from 1 April 2021 - Final new designated EHV line loss factors</v>
      </c>
      <c r="B17" s="262"/>
      <c r="C17" s="262"/>
      <c r="D17" s="262"/>
      <c r="E17" s="262"/>
      <c r="F17" s="262"/>
      <c r="G17" s="262"/>
      <c r="H17" s="262"/>
      <c r="I17" s="262"/>
      <c r="J17" s="262"/>
      <c r="K17" s="262"/>
      <c r="L17" s="262"/>
      <c r="M17" s="262"/>
      <c r="N17" s="262"/>
      <c r="O17" s="262"/>
      <c r="P17" s="262"/>
      <c r="Q17" s="262"/>
      <c r="R17" s="263"/>
    </row>
    <row r="18" spans="1:18" ht="62.25" customHeight="1" x14ac:dyDescent="0.2">
      <c r="A18" s="26" t="s">
        <v>142</v>
      </c>
      <c r="B18" s="26" t="s">
        <v>52</v>
      </c>
      <c r="C18" s="26" t="s">
        <v>35</v>
      </c>
      <c r="D18" s="26" t="s">
        <v>36</v>
      </c>
      <c r="E18" s="26" t="s">
        <v>53</v>
      </c>
      <c r="F18" s="26" t="s">
        <v>35</v>
      </c>
      <c r="G18" s="26" t="s">
        <v>37</v>
      </c>
      <c r="H18" s="65" t="s">
        <v>29</v>
      </c>
      <c r="I18" s="28" t="s">
        <v>110</v>
      </c>
      <c r="J18" s="28" t="s">
        <v>109</v>
      </c>
      <c r="K18" s="28" t="s">
        <v>111</v>
      </c>
      <c r="L18" s="28" t="s">
        <v>112</v>
      </c>
      <c r="M18" s="28" t="s">
        <v>1655</v>
      </c>
      <c r="N18" s="29" t="s">
        <v>113</v>
      </c>
      <c r="O18" s="29" t="s">
        <v>114</v>
      </c>
      <c r="P18" s="29" t="s">
        <v>115</v>
      </c>
      <c r="Q18" s="29" t="s">
        <v>116</v>
      </c>
      <c r="R18" s="29" t="s">
        <v>1656</v>
      </c>
    </row>
    <row r="19" spans="1:18" ht="22.5" customHeight="1" x14ac:dyDescent="0.2">
      <c r="A19" s="208">
        <v>44287</v>
      </c>
      <c r="B19" s="197" t="s">
        <v>1462</v>
      </c>
      <c r="C19" s="198" t="s">
        <v>1463</v>
      </c>
      <c r="D19" s="199" t="s">
        <v>1465</v>
      </c>
      <c r="E19" s="200" t="s">
        <v>1462</v>
      </c>
      <c r="F19" s="201" t="s">
        <v>1464</v>
      </c>
      <c r="G19" s="199" t="s">
        <v>1466</v>
      </c>
      <c r="H19" s="202" t="s">
        <v>1462</v>
      </c>
      <c r="I19" s="216">
        <v>1.0189999999999999</v>
      </c>
      <c r="J19" s="216">
        <v>1.0149999999999999</v>
      </c>
      <c r="K19" s="217">
        <v>1.0169999999999999</v>
      </c>
      <c r="L19" s="217">
        <v>1.014</v>
      </c>
      <c r="M19" s="217">
        <v>1.016</v>
      </c>
      <c r="N19" s="218">
        <v>1.0189999999999999</v>
      </c>
      <c r="O19" s="218">
        <v>1.0149999999999999</v>
      </c>
      <c r="P19" s="218">
        <v>1.0169999999999999</v>
      </c>
      <c r="Q19" s="218">
        <v>1.014</v>
      </c>
      <c r="R19" s="218">
        <v>1.016</v>
      </c>
    </row>
    <row r="20" spans="1:18" ht="22.5" customHeight="1" x14ac:dyDescent="0.2">
      <c r="A20" s="208">
        <v>44287</v>
      </c>
      <c r="B20" s="197" t="s">
        <v>1776</v>
      </c>
      <c r="C20" s="198">
        <v>907</v>
      </c>
      <c r="D20" s="199">
        <v>1900092045475</v>
      </c>
      <c r="E20" s="200" t="s">
        <v>1776</v>
      </c>
      <c r="F20" s="201">
        <v>768</v>
      </c>
      <c r="G20" s="199">
        <v>1900092045484</v>
      </c>
      <c r="H20" s="202" t="s">
        <v>1776</v>
      </c>
      <c r="I20" s="216">
        <v>1.0189999999999999</v>
      </c>
      <c r="J20" s="216">
        <v>1.0149999999999999</v>
      </c>
      <c r="K20" s="217">
        <v>1.0169999999999999</v>
      </c>
      <c r="L20" s="217">
        <v>1.014</v>
      </c>
      <c r="M20" s="217">
        <v>1.016</v>
      </c>
      <c r="N20" s="218">
        <v>1.0189999999999999</v>
      </c>
      <c r="O20" s="218">
        <v>1.0149999999999999</v>
      </c>
      <c r="P20" s="218">
        <v>1.0169999999999999</v>
      </c>
      <c r="Q20" s="218">
        <v>1.014</v>
      </c>
      <c r="R20" s="218">
        <v>1.016</v>
      </c>
    </row>
    <row r="21" spans="1:18" ht="22.5" customHeight="1" x14ac:dyDescent="0.2">
      <c r="A21" s="208"/>
      <c r="B21" s="197"/>
      <c r="C21" s="198"/>
      <c r="D21" s="199"/>
      <c r="E21" s="200"/>
      <c r="F21" s="201"/>
      <c r="G21" s="199"/>
      <c r="H21" s="202"/>
      <c r="I21" s="216"/>
      <c r="J21" s="216"/>
      <c r="K21" s="217"/>
      <c r="L21" s="217"/>
      <c r="M21" s="217"/>
      <c r="N21" s="218"/>
      <c r="O21" s="218"/>
      <c r="P21" s="218"/>
      <c r="Q21" s="218"/>
      <c r="R21" s="218"/>
    </row>
    <row r="22" spans="1:18" ht="22.5" customHeight="1" x14ac:dyDescent="0.2">
      <c r="A22" s="208"/>
      <c r="B22" s="197"/>
      <c r="C22" s="198"/>
      <c r="D22" s="199"/>
      <c r="E22" s="200"/>
      <c r="F22" s="201"/>
      <c r="G22" s="199"/>
      <c r="H22" s="202"/>
      <c r="I22" s="216"/>
      <c r="J22" s="216"/>
      <c r="K22" s="217"/>
      <c r="L22" s="217"/>
      <c r="M22" s="217"/>
      <c r="N22" s="218"/>
      <c r="O22" s="218"/>
      <c r="P22" s="218"/>
      <c r="Q22" s="218"/>
      <c r="R22" s="218"/>
    </row>
    <row r="23" spans="1:18" ht="22.5" customHeight="1" x14ac:dyDescent="0.2">
      <c r="A23" s="208"/>
      <c r="B23" s="197"/>
      <c r="C23" s="198"/>
      <c r="D23" s="199"/>
      <c r="E23" s="200"/>
      <c r="F23" s="201"/>
      <c r="G23" s="199"/>
      <c r="H23" s="202"/>
      <c r="I23" s="216"/>
      <c r="J23" s="216"/>
      <c r="K23" s="217"/>
      <c r="L23" s="217"/>
      <c r="M23" s="217"/>
      <c r="N23" s="218"/>
      <c r="O23" s="218"/>
      <c r="P23" s="218"/>
      <c r="Q23" s="218"/>
      <c r="R23" s="218"/>
    </row>
    <row r="24" spans="1:18" ht="22.5" customHeight="1" x14ac:dyDescent="0.2">
      <c r="A24" s="208"/>
      <c r="B24" s="197"/>
      <c r="C24" s="198"/>
      <c r="D24" s="199"/>
      <c r="E24" s="200"/>
      <c r="F24" s="201"/>
      <c r="G24" s="199"/>
      <c r="H24" s="202"/>
      <c r="I24" s="216"/>
      <c r="J24" s="216"/>
      <c r="K24" s="217"/>
      <c r="L24" s="217"/>
      <c r="M24" s="217"/>
      <c r="N24" s="218"/>
      <c r="O24" s="218"/>
      <c r="P24" s="218"/>
      <c r="Q24" s="218"/>
      <c r="R24" s="218"/>
    </row>
    <row r="25" spans="1:18" ht="22.5" customHeight="1" x14ac:dyDescent="0.2">
      <c r="A25" s="208"/>
      <c r="B25" s="197"/>
      <c r="C25" s="198"/>
      <c r="D25" s="199"/>
      <c r="E25" s="200"/>
      <c r="F25" s="201"/>
      <c r="G25" s="199"/>
      <c r="H25" s="202"/>
      <c r="I25" s="216"/>
      <c r="J25" s="216"/>
      <c r="K25" s="217"/>
      <c r="L25" s="217"/>
      <c r="M25" s="217"/>
      <c r="N25" s="218"/>
      <c r="O25" s="218"/>
      <c r="P25" s="218"/>
      <c r="Q25" s="218"/>
      <c r="R25" s="218"/>
    </row>
    <row r="26" spans="1:18" ht="22.5" customHeight="1" x14ac:dyDescent="0.2">
      <c r="A26" s="208"/>
      <c r="B26" s="197"/>
      <c r="C26" s="198"/>
      <c r="D26" s="199"/>
      <c r="E26" s="200"/>
      <c r="F26" s="201"/>
      <c r="G26" s="199"/>
      <c r="H26" s="202"/>
      <c r="I26" s="216"/>
      <c r="J26" s="216"/>
      <c r="K26" s="217"/>
      <c r="L26" s="217"/>
      <c r="M26" s="217"/>
      <c r="N26" s="218"/>
      <c r="O26" s="218"/>
      <c r="P26" s="218"/>
      <c r="Q26" s="218"/>
      <c r="R26" s="218"/>
    </row>
    <row r="27" spans="1:18" ht="22.5" customHeight="1" x14ac:dyDescent="0.2">
      <c r="A27" s="208"/>
      <c r="B27" s="197"/>
      <c r="C27" s="198"/>
      <c r="D27" s="199"/>
      <c r="E27" s="200"/>
      <c r="F27" s="201"/>
      <c r="G27" s="199"/>
      <c r="H27" s="202"/>
      <c r="I27" s="216"/>
      <c r="J27" s="216"/>
      <c r="K27" s="217"/>
      <c r="L27" s="217"/>
      <c r="M27" s="217"/>
      <c r="N27" s="218"/>
      <c r="O27" s="218"/>
      <c r="P27" s="218"/>
      <c r="Q27" s="218"/>
      <c r="R27" s="218"/>
    </row>
    <row r="28" spans="1:18" ht="22.5" customHeight="1" x14ac:dyDescent="0.2">
      <c r="A28" s="208"/>
      <c r="B28" s="197"/>
      <c r="C28" s="198"/>
      <c r="D28" s="199"/>
      <c r="E28" s="200"/>
      <c r="F28" s="201"/>
      <c r="G28" s="199"/>
      <c r="H28" s="202"/>
      <c r="I28" s="216"/>
      <c r="J28" s="216"/>
      <c r="K28" s="217"/>
      <c r="L28" s="217"/>
      <c r="M28" s="217"/>
      <c r="N28" s="218"/>
      <c r="O28" s="218"/>
      <c r="P28" s="218"/>
      <c r="Q28" s="218"/>
      <c r="R28" s="218"/>
    </row>
    <row r="29" spans="1:18" ht="27.75" customHeight="1" x14ac:dyDescent="0.2">
      <c r="A29" s="2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H1:I1"/>
    <mergeCell ref="A17:R17"/>
  </mergeCells>
  <hyperlinks>
    <hyperlink ref="A1" location="Overview!A1" display="Back to Overview"/>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7"/>
  <sheetViews>
    <sheetView zoomScale="80" zoomScaleNormal="80" zoomScaleSheetLayoutView="80" workbookViewId="0">
      <selection activeCell="J5" sqref="J5"/>
    </sheetView>
  </sheetViews>
  <sheetFormatPr defaultRowHeight="27.75" customHeight="1" x14ac:dyDescent="0.2"/>
  <cols>
    <col min="1" max="1" width="53.5703125" style="2" customWidth="1"/>
    <col min="2" max="2" width="28.85546875" style="3" customWidth="1"/>
    <col min="3" max="3" width="14.5703125" style="2" customWidth="1"/>
    <col min="4" max="6" width="17.5703125" style="3" customWidth="1"/>
    <col min="7" max="16384" width="9.140625" style="2"/>
  </cols>
  <sheetData>
    <row r="1" spans="1:6" ht="27.75" customHeight="1" x14ac:dyDescent="0.2">
      <c r="A1" s="40" t="s">
        <v>18</v>
      </c>
      <c r="B1" s="294"/>
      <c r="C1" s="294"/>
      <c r="D1" s="183"/>
      <c r="E1" s="183"/>
      <c r="F1" s="183"/>
    </row>
    <row r="2" spans="1:6" ht="35.1" customHeight="1" x14ac:dyDescent="0.2">
      <c r="A2" s="261" t="str">
        <f>Overview!B4&amp; " - Effective from "&amp;Overview!D4&amp;" - "&amp;Overview!E4&amp;" Supplier of Last Resort and Eligible Bad Debt Pass-Through Costs"</f>
        <v>South Eastern Power Networks - Effective from 1 April 2021 - Final Supplier of Last Resort and Eligible Bad Debt Pass-Through Costs</v>
      </c>
      <c r="B2" s="262"/>
      <c r="C2" s="262"/>
      <c r="D2" s="262"/>
      <c r="E2" s="262"/>
      <c r="F2" s="263"/>
    </row>
    <row r="3" spans="1:6" s="78" customFormat="1" ht="21" customHeight="1" x14ac:dyDescent="0.2">
      <c r="A3" s="184"/>
      <c r="B3" s="184"/>
      <c r="C3" s="184"/>
      <c r="D3" s="184"/>
      <c r="E3" s="184"/>
      <c r="F3" s="184"/>
    </row>
    <row r="4" spans="1:6" ht="78.75" customHeight="1" x14ac:dyDescent="0.2">
      <c r="A4" s="26" t="s">
        <v>128</v>
      </c>
      <c r="B4" s="220" t="s">
        <v>422</v>
      </c>
      <c r="C4" s="220" t="s">
        <v>23</v>
      </c>
      <c r="D4" s="220" t="s">
        <v>513</v>
      </c>
      <c r="E4" s="220" t="s">
        <v>514</v>
      </c>
      <c r="F4" s="220" t="s">
        <v>515</v>
      </c>
    </row>
    <row r="5" spans="1:6" ht="32.25" customHeight="1" x14ac:dyDescent="0.2">
      <c r="A5" s="16" t="s">
        <v>143</v>
      </c>
      <c r="B5" s="173" t="str">
        <f>IFERROR(INDEX('Annex 1 LV, HV and UMS charges'!$B$12:$B$30,MATCH($A5,'Annex 1 LV, HV and UMS charges'!$A$12:$A$295,0)),INDEX('Annex 4 LDNO charges'!$B$12:$B$116,MATCH($A5,'Annex 4 LDNO charges'!$A$12:$A$116,0)))</f>
        <v>1, 100, 300</v>
      </c>
      <c r="C5" s="174" t="str">
        <f>IFERROR(INDEX('Annex 1 LV, HV and UMS charges'!$C$12:$C$30,MATCH($A5,'Annex 1 LV, HV and UMS charges'!$A$12:$A$295,0)),INDEX('Annex 4 LDNO charges'!$C$12:$C$116,MATCH($A5,'Annex 4 LDNO charges'!$A$12:$A$116,0)))</f>
        <v>1, 2 or 0</v>
      </c>
      <c r="D5" s="193">
        <v>7.9313589463666234E-3</v>
      </c>
      <c r="E5" s="193"/>
      <c r="F5" s="193">
        <v>0.1887162074187432</v>
      </c>
    </row>
    <row r="6" spans="1:6" ht="27" customHeight="1" x14ac:dyDescent="0.2">
      <c r="A6" s="16" t="s">
        <v>145</v>
      </c>
      <c r="B6" s="173" t="str">
        <f>IFERROR(INDEX('Annex 1 LV, HV and UMS charges'!$B$12:$B$30,MATCH($A6,'Annex 1 LV, HV and UMS charges'!$A$12:$A$295,0)),INDEX('Annex 4 LDNO charges'!$B$12:$B$116,MATCH($A6,'Annex 4 LDNO charges'!$A$12:$A$116,0)))</f>
        <v>120, 200, 201, 202, 203, 204, 320, 480</v>
      </c>
      <c r="C6" s="174" t="str">
        <f>IFERROR(INDEX('Annex 1 LV, HV and UMS charges'!$C$12:$C$30,MATCH($A6,'Annex 1 LV, HV and UMS charges'!$A$12:$A$295,0)),INDEX('Annex 4 LDNO charges'!$C$12:$C$116,MATCH($A6,'Annex 4 LDNO charges'!$A$12:$A$116,0)))</f>
        <v>3-8 or 0</v>
      </c>
      <c r="D6" s="36"/>
      <c r="E6" s="36"/>
      <c r="F6" s="193">
        <v>0.1887162074187432</v>
      </c>
    </row>
    <row r="7" spans="1:6" ht="27" customHeight="1" x14ac:dyDescent="0.2">
      <c r="A7" s="16" t="s">
        <v>147</v>
      </c>
      <c r="B7" s="173" t="str">
        <f>IFERROR(INDEX('Annex 1 LV, HV and UMS charges'!$B$12:$B$30,MATCH($A7,'Annex 1 LV, HV and UMS charges'!$A$12:$A$295,0)),INDEX('Annex 4 LDNO charges'!$B$12:$B$116,MATCH($A7,'Annex 4 LDNO charges'!$A$12:$A$116,0)))</f>
        <v>71, 72, 73, 74, 550</v>
      </c>
      <c r="C7" s="174">
        <f>IFERROR(INDEX('Annex 1 LV, HV and UMS charges'!$C$12:$C$30,MATCH($A7,'Annex 1 LV, HV and UMS charges'!$A$12:$A$295,0)),INDEX('Annex 4 LDNO charges'!$C$12:$C$116,MATCH($A7,'Annex 4 LDNO charges'!$A$12:$A$116,0)))</f>
        <v>0</v>
      </c>
      <c r="D7" s="36"/>
      <c r="E7" s="36"/>
      <c r="F7" s="193">
        <v>0.1887162074187432</v>
      </c>
    </row>
    <row r="8" spans="1:6" ht="27" customHeight="1" x14ac:dyDescent="0.2">
      <c r="A8" s="16" t="s">
        <v>148</v>
      </c>
      <c r="B8" s="173" t="str">
        <f>IFERROR(INDEX('Annex 1 LV, HV and UMS charges'!$B$12:$B$30,MATCH($A8,'Annex 1 LV, HV and UMS charges'!$A$12:$A$295,0)),INDEX('Annex 4 LDNO charges'!$B$12:$B$116,MATCH($A8,'Annex 4 LDNO charges'!$A$12:$A$116,0)))</f>
        <v>81, 82, 83, 84, 756</v>
      </c>
      <c r="C8" s="174">
        <f>IFERROR(INDEX('Annex 1 LV, HV and UMS charges'!$C$12:$C$30,MATCH($A8,'Annex 1 LV, HV and UMS charges'!$A$12:$A$295,0)),INDEX('Annex 4 LDNO charges'!$C$12:$C$116,MATCH($A8,'Annex 4 LDNO charges'!$A$12:$A$116,0)))</f>
        <v>0</v>
      </c>
      <c r="D8" s="36"/>
      <c r="E8" s="36"/>
      <c r="F8" s="193">
        <v>0.1887162074187432</v>
      </c>
    </row>
    <row r="9" spans="1:6" ht="27" customHeight="1" x14ac:dyDescent="0.2">
      <c r="A9" s="16" t="s">
        <v>149</v>
      </c>
      <c r="B9" s="173" t="str">
        <f>IFERROR(INDEX('Annex 1 LV, HV and UMS charges'!$B$12:$B$30,MATCH($A9,'Annex 1 LV, HV and UMS charges'!$A$12:$A$295,0)),INDEX('Annex 4 LDNO charges'!$B$12:$B$116,MATCH($A9,'Annex 4 LDNO charges'!$A$12:$A$116,0)))</f>
        <v>91, 92, 93, 94, 650</v>
      </c>
      <c r="C9" s="174">
        <f>IFERROR(INDEX('Annex 1 LV, HV and UMS charges'!$C$12:$C$30,MATCH($A9,'Annex 1 LV, HV and UMS charges'!$A$12:$A$295,0)),INDEX('Annex 4 LDNO charges'!$C$12:$C$116,MATCH($A9,'Annex 4 LDNO charges'!$A$12:$A$116,0)))</f>
        <v>0</v>
      </c>
      <c r="D9" s="36"/>
      <c r="E9" s="36"/>
      <c r="F9" s="193">
        <v>0.1887162074187432</v>
      </c>
    </row>
    <row r="10" spans="1:6" ht="27" customHeight="1" x14ac:dyDescent="0.2">
      <c r="A10" s="16" t="s">
        <v>1468</v>
      </c>
      <c r="B10" s="173" t="str">
        <f>IFERROR(INDEX('Annex 1 LV, HV and UMS charges'!$B$12:$B$30,MATCH($A10,'Annex 1 LV, HV and UMS charges'!$A$12:$A$295,0)),INDEX('Annex 4 LDNO charges'!$B$12:$B$116,MATCH($A10,'Annex 4 LDNO charges'!$A$12:$A$116,0)))</f>
        <v>19, 70</v>
      </c>
      <c r="C10" s="174" t="str">
        <f>IFERROR(INDEX('Annex 1 LV, HV and UMS charges'!$C$12:$C$30,MATCH($A10,'Annex 1 LV, HV and UMS charges'!$A$12:$A$295,0)),INDEX('Annex 4 LDNO charges'!$C$12:$C$116,MATCH($A10,'Annex 4 LDNO charges'!$A$12:$A$116,0)))</f>
        <v>0</v>
      </c>
      <c r="D10" s="36"/>
      <c r="E10" s="36"/>
      <c r="F10" s="193">
        <v>0.18871620741874301</v>
      </c>
    </row>
    <row r="11" spans="1:6" ht="27" customHeight="1" x14ac:dyDescent="0.2">
      <c r="A11" s="16" t="s">
        <v>1469</v>
      </c>
      <c r="B11" s="173" t="str">
        <f>IFERROR(INDEX('Annex 1 LV, HV and UMS charges'!$B$12:$B$30,MATCH($A11,'Annex 1 LV, HV and UMS charges'!$A$12:$A$295,0)),INDEX('Annex 4 LDNO charges'!$B$12:$B$116,MATCH($A11,'Annex 4 LDNO charges'!$A$12:$A$116,0)))</f>
        <v>79, 80</v>
      </c>
      <c r="C11" s="174" t="str">
        <f>IFERROR(INDEX('Annex 1 LV, HV and UMS charges'!$C$12:$C$30,MATCH($A11,'Annex 1 LV, HV and UMS charges'!$A$12:$A$295,0)),INDEX('Annex 4 LDNO charges'!$C$12:$C$116,MATCH($A11,'Annex 4 LDNO charges'!$A$12:$A$116,0)))</f>
        <v>0</v>
      </c>
      <c r="D11" s="36"/>
      <c r="E11" s="36"/>
      <c r="F11" s="193">
        <v>0.18871620741874301</v>
      </c>
    </row>
    <row r="12" spans="1:6" ht="27" customHeight="1" x14ac:dyDescent="0.2">
      <c r="A12" s="16" t="s">
        <v>1470</v>
      </c>
      <c r="B12" s="173" t="str">
        <f>IFERROR(INDEX('Annex 1 LV, HV and UMS charges'!$B$12:$B$30,MATCH($A12,'Annex 1 LV, HV and UMS charges'!$A$12:$A$295,0)),INDEX('Annex 4 LDNO charges'!$B$12:$B$116,MATCH($A12,'Annex 4 LDNO charges'!$A$12:$A$116,0)))</f>
        <v>89, 90</v>
      </c>
      <c r="C12" s="174" t="str">
        <f>IFERROR(INDEX('Annex 1 LV, HV and UMS charges'!$C$12:$C$30,MATCH($A12,'Annex 1 LV, HV and UMS charges'!$A$12:$A$295,0)),INDEX('Annex 4 LDNO charges'!$C$12:$C$116,MATCH($A12,'Annex 4 LDNO charges'!$A$12:$A$116,0)))</f>
        <v>0</v>
      </c>
      <c r="D12" s="36"/>
      <c r="E12" s="36"/>
      <c r="F12" s="193">
        <v>0.18871620741874301</v>
      </c>
    </row>
    <row r="13" spans="1:6" ht="27" customHeight="1" x14ac:dyDescent="0.2">
      <c r="A13" s="175" t="s">
        <v>423</v>
      </c>
      <c r="B13" s="173" t="str">
        <f>IFERROR(INDEX('Annex 1 LV, HV and UMS charges'!$B$12:$B$30,MATCH($A13,'Annex 1 LV, HV and UMS charges'!$A$12:$A$295,0)),INDEX('Annex 4 LDNO charges'!$B$12:$B$116,MATCH($A13,'Annex 4 LDNO charges'!$A$12:$A$116,0)))</f>
        <v>A00</v>
      </c>
      <c r="C13" s="174" t="str">
        <f>IFERROR(INDEX('Annex 1 LV, HV and UMS charges'!$C$12:$C$30,MATCH($A13,'Annex 1 LV, HV and UMS charges'!$A$12:$A$295,0)),INDEX('Annex 4 LDNO charges'!$C$12:$C$116,MATCH($A13,'Annex 4 LDNO charges'!$A$12:$A$116,0)))</f>
        <v>1, 2 or 0</v>
      </c>
      <c r="D13" s="193">
        <v>7.9313589463666234E-3</v>
      </c>
      <c r="E13" s="193"/>
      <c r="F13" s="193">
        <v>0.18871620741874301</v>
      </c>
    </row>
    <row r="14" spans="1:6" ht="27" customHeight="1" x14ac:dyDescent="0.2">
      <c r="A14" s="175" t="s">
        <v>425</v>
      </c>
      <c r="B14" s="173" t="str">
        <f>IFERROR(INDEX('Annex 1 LV, HV and UMS charges'!$B$12:$B$30,MATCH($A14,'Annex 1 LV, HV and UMS charges'!$A$12:$A$295,0)),INDEX('Annex 4 LDNO charges'!$B$12:$B$116,MATCH($A14,'Annex 4 LDNO charges'!$A$12:$A$116,0)))</f>
        <v>C00, C01, C02, C03, C04</v>
      </c>
      <c r="C14" s="174" t="str">
        <f>IFERROR(INDEX('Annex 1 LV, HV and UMS charges'!$C$12:$C$30,MATCH($A14,'Annex 1 LV, HV and UMS charges'!$A$12:$A$295,0)),INDEX('Annex 4 LDNO charges'!$C$12:$C$116,MATCH($A14,'Annex 4 LDNO charges'!$A$12:$A$116,0)))</f>
        <v>3-8 or 0</v>
      </c>
      <c r="D14" s="36"/>
      <c r="E14" s="36"/>
      <c r="F14" s="193">
        <v>0.18871620741874301</v>
      </c>
    </row>
    <row r="15" spans="1:6" ht="27" customHeight="1" x14ac:dyDescent="0.2">
      <c r="A15" s="175" t="s">
        <v>427</v>
      </c>
      <c r="B15" s="173" t="str">
        <f>IFERROR(INDEX('Annex 1 LV, HV and UMS charges'!$B$12:$B$30,MATCH($A15,'Annex 1 LV, HV and UMS charges'!$A$12:$A$295,0)),INDEX('Annex 4 LDNO charges'!$B$12:$B$116,MATCH($A15,'Annex 4 LDNO charges'!$A$12:$A$116,0)))</f>
        <v>E01, E02, E03, E04</v>
      </c>
      <c r="C15" s="174">
        <f>IFERROR(INDEX('Annex 1 LV, HV and UMS charges'!$C$12:$C$30,MATCH($A15,'Annex 1 LV, HV and UMS charges'!$A$12:$A$295,0)),INDEX('Annex 4 LDNO charges'!$C$12:$C$116,MATCH($A15,'Annex 4 LDNO charges'!$A$12:$A$116,0)))</f>
        <v>0</v>
      </c>
      <c r="D15" s="36"/>
      <c r="E15" s="36"/>
      <c r="F15" s="193">
        <v>0.18871620741874301</v>
      </c>
    </row>
    <row r="16" spans="1:6" ht="27" customHeight="1" x14ac:dyDescent="0.2">
      <c r="A16" s="175" t="s">
        <v>1471</v>
      </c>
      <c r="B16" s="173" t="str">
        <f>IFERROR(INDEX('Annex 1 LV, HV and UMS charges'!$B$12:$B$30,MATCH($A16,'Annex 1 LV, HV and UMS charges'!$A$12:$A$295,0)),INDEX('Annex 4 LDNO charges'!$B$12:$B$116,MATCH($A16,'Annex 4 LDNO charges'!$A$12:$A$116,0)))</f>
        <v>E00</v>
      </c>
      <c r="C16" s="174" t="str">
        <f>IFERROR(INDEX('Annex 1 LV, HV and UMS charges'!$C$12:$C$30,MATCH($A16,'Annex 1 LV, HV and UMS charges'!$A$12:$A$295,0)),INDEX('Annex 4 LDNO charges'!$C$12:$C$116,MATCH($A16,'Annex 4 LDNO charges'!$A$12:$A$116,0)))</f>
        <v>0</v>
      </c>
      <c r="D16" s="36"/>
      <c r="E16" s="36"/>
      <c r="F16" s="193">
        <v>0.18871620741874301</v>
      </c>
    </row>
    <row r="17" spans="1:6" ht="27" customHeight="1" x14ac:dyDescent="0.2">
      <c r="A17" s="178" t="s">
        <v>431</v>
      </c>
      <c r="B17" s="173" t="str">
        <f>IFERROR(INDEX('Annex 1 LV, HV and UMS charges'!$B$12:$B$30,MATCH($A17,'Annex 1 LV, HV and UMS charges'!$A$12:$A$295,0)),INDEX('Annex 4 LDNO charges'!$B$12:$B$116,MATCH($A17,'Annex 4 LDNO charges'!$A$12:$A$116,0)))</f>
        <v>A10</v>
      </c>
      <c r="C17" s="174" t="str">
        <f>IFERROR(INDEX('Annex 1 LV, HV and UMS charges'!$C$12:$C$30,MATCH($A17,'Annex 1 LV, HV and UMS charges'!$A$12:$A$295,0)),INDEX('Annex 4 LDNO charges'!$C$12:$C$116,MATCH($A17,'Annex 4 LDNO charges'!$A$12:$A$116,0)))</f>
        <v>1, 2 or 0</v>
      </c>
      <c r="D17" s="193">
        <v>7.9313589463666234E-3</v>
      </c>
      <c r="E17" s="193"/>
      <c r="F17" s="193">
        <v>0.18871620741874301</v>
      </c>
    </row>
    <row r="18" spans="1:6" ht="27.75" customHeight="1" x14ac:dyDescent="0.2">
      <c r="A18" s="178" t="s">
        <v>433</v>
      </c>
      <c r="B18" s="173" t="str">
        <f>IFERROR(INDEX('Annex 1 LV, HV and UMS charges'!$B$12:$B$30,MATCH($A18,'Annex 1 LV, HV and UMS charges'!$A$12:$A$295,0)),INDEX('Annex 4 LDNO charges'!$B$12:$B$116,MATCH($A18,'Annex 4 LDNO charges'!$A$12:$A$116,0)))</f>
        <v>C10, C11, C12, C13, C14</v>
      </c>
      <c r="C18" s="174" t="str">
        <f>IFERROR(INDEX('Annex 1 LV, HV and UMS charges'!$C$12:$C$30,MATCH($A18,'Annex 1 LV, HV and UMS charges'!$A$12:$A$295,0)),INDEX('Annex 4 LDNO charges'!$C$12:$C$116,MATCH($A18,'Annex 4 LDNO charges'!$A$12:$A$116,0)))</f>
        <v>3-8 or 0</v>
      </c>
      <c r="D18" s="36"/>
      <c r="E18" s="36"/>
      <c r="F18" s="193">
        <v>0.18871620741874301</v>
      </c>
    </row>
    <row r="19" spans="1:6" ht="27.75" customHeight="1" x14ac:dyDescent="0.2">
      <c r="A19" s="178" t="s">
        <v>435</v>
      </c>
      <c r="B19" s="173" t="str">
        <f>IFERROR(INDEX('Annex 1 LV, HV and UMS charges'!$B$12:$B$30,MATCH($A19,'Annex 1 LV, HV and UMS charges'!$A$12:$A$295,0)),INDEX('Annex 4 LDNO charges'!$B$12:$B$116,MATCH($A19,'Annex 4 LDNO charges'!$A$12:$A$116,0)))</f>
        <v>E11, E12, E13, E14</v>
      </c>
      <c r="C19" s="174">
        <f>IFERROR(INDEX('Annex 1 LV, HV and UMS charges'!$C$12:$C$30,MATCH($A19,'Annex 1 LV, HV and UMS charges'!$A$12:$A$295,0)),INDEX('Annex 4 LDNO charges'!$C$12:$C$116,MATCH($A19,'Annex 4 LDNO charges'!$A$12:$A$116,0)))</f>
        <v>0</v>
      </c>
      <c r="D19" s="36"/>
      <c r="E19" s="36"/>
      <c r="F19" s="193">
        <v>0.18871620741874301</v>
      </c>
    </row>
    <row r="20" spans="1:6" ht="27.75" customHeight="1" x14ac:dyDescent="0.2">
      <c r="A20" s="178" t="s">
        <v>436</v>
      </c>
      <c r="B20" s="173" t="str">
        <f>IFERROR(INDEX('Annex 1 LV, HV and UMS charges'!$B$12:$B$30,MATCH($A20,'Annex 1 LV, HV and UMS charges'!$A$12:$A$295,0)),INDEX('Annex 4 LDNO charges'!$B$12:$B$116,MATCH($A20,'Annex 4 LDNO charges'!$A$12:$A$116,0)))</f>
        <v>J11, J12, J13, J14</v>
      </c>
      <c r="C20" s="174">
        <f>IFERROR(INDEX('Annex 1 LV, HV and UMS charges'!$C$12:$C$30,MATCH($A20,'Annex 1 LV, HV and UMS charges'!$A$12:$A$295,0)),INDEX('Annex 4 LDNO charges'!$C$12:$C$116,MATCH($A20,'Annex 4 LDNO charges'!$A$12:$A$116,0)))</f>
        <v>0</v>
      </c>
      <c r="D20" s="36"/>
      <c r="E20" s="36"/>
      <c r="F20" s="193">
        <v>0.18871620741874301</v>
      </c>
    </row>
    <row r="21" spans="1:6" ht="27.75" customHeight="1" x14ac:dyDescent="0.2">
      <c r="A21" s="178" t="s">
        <v>437</v>
      </c>
      <c r="B21" s="173" t="str">
        <f>IFERROR(INDEX('Annex 1 LV, HV and UMS charges'!$B$12:$B$30,MATCH($A21,'Annex 1 LV, HV and UMS charges'!$A$12:$A$295,0)),INDEX('Annex 4 LDNO charges'!$B$12:$B$116,MATCH($A21,'Annex 4 LDNO charges'!$A$12:$A$116,0)))</f>
        <v>K11, K12, K13, K14</v>
      </c>
      <c r="C21" s="174">
        <f>IFERROR(INDEX('Annex 1 LV, HV and UMS charges'!$C$12:$C$30,MATCH($A21,'Annex 1 LV, HV and UMS charges'!$A$12:$A$295,0)),INDEX('Annex 4 LDNO charges'!$C$12:$C$116,MATCH($A21,'Annex 4 LDNO charges'!$A$12:$A$116,0)))</f>
        <v>0</v>
      </c>
      <c r="D21" s="36"/>
      <c r="E21" s="36"/>
      <c r="F21" s="193">
        <v>0.18871620741874301</v>
      </c>
    </row>
    <row r="22" spans="1:6" ht="27.75" customHeight="1" x14ac:dyDescent="0.2">
      <c r="A22" s="178" t="s">
        <v>1472</v>
      </c>
      <c r="B22" s="173" t="str">
        <f>IFERROR(INDEX('Annex 1 LV, HV and UMS charges'!$B$12:$B$30,MATCH($A22,'Annex 1 LV, HV and UMS charges'!$A$12:$A$295,0)),INDEX('Annex 4 LDNO charges'!$B$12:$B$116,MATCH($A22,'Annex 4 LDNO charges'!$A$12:$A$116,0)))</f>
        <v>E10</v>
      </c>
      <c r="C22" s="174">
        <f>IFERROR(INDEX('Annex 1 LV, HV and UMS charges'!$C$12:$C$30,MATCH($A22,'Annex 1 LV, HV and UMS charges'!$A$12:$A$295,0)),INDEX('Annex 4 LDNO charges'!$C$12:$C$116,MATCH($A22,'Annex 4 LDNO charges'!$A$12:$A$116,0)))</f>
        <v>0</v>
      </c>
      <c r="D22" s="36"/>
      <c r="E22" s="36"/>
      <c r="F22" s="193">
        <v>0.18871620741874301</v>
      </c>
    </row>
    <row r="23" spans="1:6" ht="27.75" customHeight="1" x14ac:dyDescent="0.2">
      <c r="A23" s="178" t="s">
        <v>1473</v>
      </c>
      <c r="B23" s="173" t="str">
        <f>IFERROR(INDEX('Annex 1 LV, HV and UMS charges'!$B$12:$B$30,MATCH($A23,'Annex 1 LV, HV and UMS charges'!$A$12:$A$295,0)),INDEX('Annex 4 LDNO charges'!$B$12:$B$116,MATCH($A23,'Annex 4 LDNO charges'!$A$12:$A$116,0)))</f>
        <v>J10</v>
      </c>
      <c r="C23" s="174">
        <f>IFERROR(INDEX('Annex 1 LV, HV and UMS charges'!$C$12:$C$30,MATCH($A23,'Annex 1 LV, HV and UMS charges'!$A$12:$A$295,0)),INDEX('Annex 4 LDNO charges'!$C$12:$C$116,MATCH($A23,'Annex 4 LDNO charges'!$A$12:$A$116,0)))</f>
        <v>0</v>
      </c>
      <c r="D23" s="36"/>
      <c r="E23" s="36"/>
      <c r="F23" s="193">
        <v>0.18871620741874301</v>
      </c>
    </row>
    <row r="24" spans="1:6" ht="27.75" customHeight="1" x14ac:dyDescent="0.2">
      <c r="A24" s="178" t="s">
        <v>1474</v>
      </c>
      <c r="B24" s="173" t="str">
        <f>IFERROR(INDEX('Annex 1 LV, HV and UMS charges'!$B$12:$B$30,MATCH($A24,'Annex 1 LV, HV and UMS charges'!$A$12:$A$295,0)),INDEX('Annex 4 LDNO charges'!$B$12:$B$116,MATCH($A24,'Annex 4 LDNO charges'!$A$12:$A$116,0)))</f>
        <v>K10</v>
      </c>
      <c r="C24" s="174">
        <f>IFERROR(INDEX('Annex 1 LV, HV and UMS charges'!$C$12:$C$30,MATCH($A24,'Annex 1 LV, HV and UMS charges'!$A$12:$A$295,0)),INDEX('Annex 4 LDNO charges'!$C$12:$C$116,MATCH($A24,'Annex 4 LDNO charges'!$A$12:$A$116,0)))</f>
        <v>0</v>
      </c>
      <c r="D24" s="36"/>
      <c r="E24" s="36"/>
      <c r="F24" s="193">
        <v>0.18871620741874301</v>
      </c>
    </row>
    <row r="25" spans="1:6" ht="27.75" customHeight="1" x14ac:dyDescent="0.2">
      <c r="A25" s="175" t="s">
        <v>444</v>
      </c>
      <c r="B25" s="173" t="str">
        <f>IFERROR(INDEX('Annex 1 LV, HV and UMS charges'!$B$12:$B$30,MATCH($A25,'Annex 1 LV, HV and UMS charges'!$A$12:$A$295,0)),INDEX('Annex 4 LDNO charges'!$B$12:$B$116,MATCH($A25,'Annex 4 LDNO charges'!$A$12:$A$116,0)))</f>
        <v>A20</v>
      </c>
      <c r="C25" s="174" t="str">
        <f>IFERROR(INDEX('Annex 1 LV, HV and UMS charges'!$C$12:$C$30,MATCH($A25,'Annex 1 LV, HV and UMS charges'!$A$12:$A$295,0)),INDEX('Annex 4 LDNO charges'!$C$12:$C$116,MATCH($A25,'Annex 4 LDNO charges'!$A$12:$A$116,0)))</f>
        <v>1, 2 or 0</v>
      </c>
      <c r="D25" s="193">
        <v>7.9313589463666234E-3</v>
      </c>
      <c r="E25" s="193"/>
      <c r="F25" s="193">
        <v>0.18871620741874301</v>
      </c>
    </row>
    <row r="26" spans="1:6" ht="27.75" customHeight="1" x14ac:dyDescent="0.2">
      <c r="A26" s="175" t="s">
        <v>446</v>
      </c>
      <c r="B26" s="173" t="str">
        <f>IFERROR(INDEX('Annex 1 LV, HV and UMS charges'!$B$12:$B$30,MATCH($A26,'Annex 1 LV, HV and UMS charges'!$A$12:$A$295,0)),INDEX('Annex 4 LDNO charges'!$B$12:$B$116,MATCH($A26,'Annex 4 LDNO charges'!$A$12:$A$116,0)))</f>
        <v>C20, C21, C22, C23, C24</v>
      </c>
      <c r="C26" s="174" t="str">
        <f>IFERROR(INDEX('Annex 1 LV, HV and UMS charges'!$C$12:$C$30,MATCH($A26,'Annex 1 LV, HV and UMS charges'!$A$12:$A$295,0)),INDEX('Annex 4 LDNO charges'!$C$12:$C$116,MATCH($A26,'Annex 4 LDNO charges'!$A$12:$A$116,0)))</f>
        <v>3-8 or 0</v>
      </c>
      <c r="D26" s="36"/>
      <c r="E26" s="36"/>
      <c r="F26" s="193">
        <v>0.18871620741874301</v>
      </c>
    </row>
    <row r="27" spans="1:6" ht="27.75" customHeight="1" x14ac:dyDescent="0.2">
      <c r="A27" s="175" t="s">
        <v>448</v>
      </c>
      <c r="B27" s="173" t="str">
        <f>IFERROR(INDEX('Annex 1 LV, HV and UMS charges'!$B$12:$B$30,MATCH($A27,'Annex 1 LV, HV and UMS charges'!$A$12:$A$295,0)),INDEX('Annex 4 LDNO charges'!$B$12:$B$116,MATCH($A27,'Annex 4 LDNO charges'!$A$12:$A$116,0)))</f>
        <v>E21, E22, E23, E24</v>
      </c>
      <c r="C27" s="174" t="str">
        <f>IFERROR(INDEX('Annex 1 LV, HV and UMS charges'!$C$12:$C$30,MATCH($A27,'Annex 1 LV, HV and UMS charges'!$A$12:$A$295,0)),INDEX('Annex 4 LDNO charges'!$C$12:$C$116,MATCH($A27,'Annex 4 LDNO charges'!$A$12:$A$116,0)))</f>
        <v>0</v>
      </c>
      <c r="D27" s="36"/>
      <c r="E27" s="36"/>
      <c r="F27" s="193">
        <v>0.18871620741874301</v>
      </c>
    </row>
    <row r="28" spans="1:6" ht="27.75" customHeight="1" x14ac:dyDescent="0.2">
      <c r="A28" s="175" t="s">
        <v>449</v>
      </c>
      <c r="B28" s="173" t="str">
        <f>IFERROR(INDEX('Annex 1 LV, HV and UMS charges'!$B$12:$B$30,MATCH($A28,'Annex 1 LV, HV and UMS charges'!$A$12:$A$295,0)),INDEX('Annex 4 LDNO charges'!$B$12:$B$116,MATCH($A28,'Annex 4 LDNO charges'!$A$12:$A$116,0)))</f>
        <v>J21, J22, J23, J24</v>
      </c>
      <c r="C28" s="174" t="str">
        <f>IFERROR(INDEX('Annex 1 LV, HV and UMS charges'!$C$12:$C$30,MATCH($A28,'Annex 1 LV, HV and UMS charges'!$A$12:$A$295,0)),INDEX('Annex 4 LDNO charges'!$C$12:$C$116,MATCH($A28,'Annex 4 LDNO charges'!$A$12:$A$116,0)))</f>
        <v>0</v>
      </c>
      <c r="D28" s="36"/>
      <c r="E28" s="36"/>
      <c r="F28" s="193">
        <v>0.18871620741874301</v>
      </c>
    </row>
    <row r="29" spans="1:6" ht="27.75" customHeight="1" x14ac:dyDescent="0.2">
      <c r="A29" s="175" t="s">
        <v>450</v>
      </c>
      <c r="B29" s="173" t="str">
        <f>IFERROR(INDEX('Annex 1 LV, HV and UMS charges'!$B$12:$B$30,MATCH($A29,'Annex 1 LV, HV and UMS charges'!$A$12:$A$295,0)),INDEX('Annex 4 LDNO charges'!$B$12:$B$116,MATCH($A29,'Annex 4 LDNO charges'!$A$12:$A$116,0)))</f>
        <v>K21, K22, K23, K24</v>
      </c>
      <c r="C29" s="174" t="str">
        <f>IFERROR(INDEX('Annex 1 LV, HV and UMS charges'!$C$12:$C$30,MATCH($A29,'Annex 1 LV, HV and UMS charges'!$A$12:$A$295,0)),INDEX('Annex 4 LDNO charges'!$C$12:$C$116,MATCH($A29,'Annex 4 LDNO charges'!$A$12:$A$116,0)))</f>
        <v>0</v>
      </c>
      <c r="D29" s="36"/>
      <c r="E29" s="36"/>
      <c r="F29" s="193">
        <v>0.18871620741874301</v>
      </c>
    </row>
    <row r="30" spans="1:6" ht="27.75" customHeight="1" x14ac:dyDescent="0.2">
      <c r="A30" s="175" t="s">
        <v>1475</v>
      </c>
      <c r="B30" s="173" t="str">
        <f>IFERROR(INDEX('Annex 1 LV, HV and UMS charges'!$B$12:$B$30,MATCH($A30,'Annex 1 LV, HV and UMS charges'!$A$12:$A$295,0)),INDEX('Annex 4 LDNO charges'!$B$12:$B$116,MATCH($A30,'Annex 4 LDNO charges'!$A$12:$A$116,0)))</f>
        <v>E20</v>
      </c>
      <c r="C30" s="174">
        <f>IFERROR(INDEX('Annex 1 LV, HV and UMS charges'!$C$12:$C$30,MATCH($A30,'Annex 1 LV, HV and UMS charges'!$A$12:$A$295,0)),INDEX('Annex 4 LDNO charges'!$C$12:$C$116,MATCH($A30,'Annex 4 LDNO charges'!$A$12:$A$116,0)))</f>
        <v>0</v>
      </c>
      <c r="D30" s="36"/>
      <c r="E30" s="36"/>
      <c r="F30" s="193">
        <v>0.18871620741874301</v>
      </c>
    </row>
    <row r="31" spans="1:6" ht="27.75" customHeight="1" x14ac:dyDescent="0.2">
      <c r="A31" s="175" t="s">
        <v>1476</v>
      </c>
      <c r="B31" s="173" t="str">
        <f>IFERROR(INDEX('Annex 1 LV, HV and UMS charges'!$B$12:$B$30,MATCH($A31,'Annex 1 LV, HV and UMS charges'!$A$12:$A$295,0)),INDEX('Annex 4 LDNO charges'!$B$12:$B$116,MATCH($A31,'Annex 4 LDNO charges'!$A$12:$A$116,0)))</f>
        <v>J20</v>
      </c>
      <c r="C31" s="174">
        <f>IFERROR(INDEX('Annex 1 LV, HV and UMS charges'!$C$12:$C$30,MATCH($A31,'Annex 1 LV, HV and UMS charges'!$A$12:$A$295,0)),INDEX('Annex 4 LDNO charges'!$C$12:$C$116,MATCH($A31,'Annex 4 LDNO charges'!$A$12:$A$116,0)))</f>
        <v>0</v>
      </c>
      <c r="D31" s="36"/>
      <c r="E31" s="36"/>
      <c r="F31" s="193">
        <v>0.18871620741874301</v>
      </c>
    </row>
    <row r="32" spans="1:6" ht="27.75" customHeight="1" x14ac:dyDescent="0.2">
      <c r="A32" s="175" t="s">
        <v>1477</v>
      </c>
      <c r="B32" s="173" t="str">
        <f>IFERROR(INDEX('Annex 1 LV, HV and UMS charges'!$B$12:$B$30,MATCH($A32,'Annex 1 LV, HV and UMS charges'!$A$12:$A$295,0)),INDEX('Annex 4 LDNO charges'!$B$12:$B$116,MATCH($A32,'Annex 4 LDNO charges'!$A$12:$A$116,0)))</f>
        <v>K20</v>
      </c>
      <c r="C32" s="174">
        <f>IFERROR(INDEX('Annex 1 LV, HV and UMS charges'!$C$12:$C$30,MATCH($A32,'Annex 1 LV, HV and UMS charges'!$A$12:$A$295,0)),INDEX('Annex 4 LDNO charges'!$C$12:$C$116,MATCH($A32,'Annex 4 LDNO charges'!$A$12:$A$116,0)))</f>
        <v>0</v>
      </c>
      <c r="D32" s="36"/>
      <c r="E32" s="36"/>
      <c r="F32" s="193">
        <v>0.18871620741874301</v>
      </c>
    </row>
    <row r="33" spans="1:6" ht="27.75" customHeight="1" x14ac:dyDescent="0.2">
      <c r="A33" s="175" t="s">
        <v>457</v>
      </c>
      <c r="B33" s="173" t="str">
        <f>IFERROR(INDEX('Annex 1 LV, HV and UMS charges'!$B$12:$B$30,MATCH($A33,'Annex 1 LV, HV and UMS charges'!$A$12:$A$295,0)),INDEX('Annex 4 LDNO charges'!$B$12:$B$116,MATCH($A33,'Annex 4 LDNO charges'!$A$12:$A$116,0)))</f>
        <v>A30</v>
      </c>
      <c r="C33" s="174" t="str">
        <f>IFERROR(INDEX('Annex 1 LV, HV and UMS charges'!$C$12:$C$30,MATCH($A33,'Annex 1 LV, HV and UMS charges'!$A$12:$A$295,0)),INDEX('Annex 4 LDNO charges'!$C$12:$C$116,MATCH($A33,'Annex 4 LDNO charges'!$A$12:$A$116,0)))</f>
        <v>1, 2 or 0</v>
      </c>
      <c r="D33" s="193">
        <v>7.9313589463666234E-3</v>
      </c>
      <c r="E33" s="193"/>
      <c r="F33" s="193">
        <v>0.18871620741874301</v>
      </c>
    </row>
    <row r="34" spans="1:6" ht="27.75" customHeight="1" x14ac:dyDescent="0.2">
      <c r="A34" s="175" t="s">
        <v>459</v>
      </c>
      <c r="B34" s="173" t="str">
        <f>IFERROR(INDEX('Annex 1 LV, HV and UMS charges'!$B$12:$B$30,MATCH($A34,'Annex 1 LV, HV and UMS charges'!$A$12:$A$295,0)),INDEX('Annex 4 LDNO charges'!$B$12:$B$116,MATCH($A34,'Annex 4 LDNO charges'!$A$12:$A$116,0)))</f>
        <v>C30, C31, C32, C33, C34</v>
      </c>
      <c r="C34" s="174" t="str">
        <f>IFERROR(INDEX('Annex 1 LV, HV and UMS charges'!$C$12:$C$30,MATCH($A34,'Annex 1 LV, HV and UMS charges'!$A$12:$A$295,0)),INDEX('Annex 4 LDNO charges'!$C$12:$C$116,MATCH($A34,'Annex 4 LDNO charges'!$A$12:$A$116,0)))</f>
        <v>3-8 or 0</v>
      </c>
      <c r="D34" s="36"/>
      <c r="E34" s="36"/>
      <c r="F34" s="193">
        <v>0.18871620741874301</v>
      </c>
    </row>
    <row r="35" spans="1:6" ht="27.75" customHeight="1" x14ac:dyDescent="0.2">
      <c r="A35" s="175" t="s">
        <v>461</v>
      </c>
      <c r="B35" s="173" t="str">
        <f>IFERROR(INDEX('Annex 1 LV, HV and UMS charges'!$B$12:$B$30,MATCH($A35,'Annex 1 LV, HV and UMS charges'!$A$12:$A$295,0)),INDEX('Annex 4 LDNO charges'!$B$12:$B$116,MATCH($A35,'Annex 4 LDNO charges'!$A$12:$A$116,0)))</f>
        <v>E31, E32, E33, E34</v>
      </c>
      <c r="C35" s="174" t="str">
        <f>IFERROR(INDEX('Annex 1 LV, HV and UMS charges'!$C$12:$C$30,MATCH($A35,'Annex 1 LV, HV and UMS charges'!$A$12:$A$295,0)),INDEX('Annex 4 LDNO charges'!$C$12:$C$116,MATCH($A35,'Annex 4 LDNO charges'!$A$12:$A$116,0)))</f>
        <v>0</v>
      </c>
      <c r="D35" s="36"/>
      <c r="E35" s="36"/>
      <c r="F35" s="193">
        <v>0.18871620741874301</v>
      </c>
    </row>
    <row r="36" spans="1:6" ht="27.75" customHeight="1" x14ac:dyDescent="0.2">
      <c r="A36" s="175" t="s">
        <v>462</v>
      </c>
      <c r="B36" s="173" t="str">
        <f>IFERROR(INDEX('Annex 1 LV, HV and UMS charges'!$B$12:$B$30,MATCH($A36,'Annex 1 LV, HV and UMS charges'!$A$12:$A$295,0)),INDEX('Annex 4 LDNO charges'!$B$12:$B$116,MATCH($A36,'Annex 4 LDNO charges'!$A$12:$A$116,0)))</f>
        <v>J31, J32, J33, J34</v>
      </c>
      <c r="C36" s="174" t="str">
        <f>IFERROR(INDEX('Annex 1 LV, HV and UMS charges'!$C$12:$C$30,MATCH($A36,'Annex 1 LV, HV and UMS charges'!$A$12:$A$295,0)),INDEX('Annex 4 LDNO charges'!$C$12:$C$116,MATCH($A36,'Annex 4 LDNO charges'!$A$12:$A$116,0)))</f>
        <v>0</v>
      </c>
      <c r="D36" s="36"/>
      <c r="E36" s="36"/>
      <c r="F36" s="193">
        <v>0.18871620741874301</v>
      </c>
    </row>
    <row r="37" spans="1:6" ht="27.75" customHeight="1" x14ac:dyDescent="0.2">
      <c r="A37" s="175" t="s">
        <v>463</v>
      </c>
      <c r="B37" s="173" t="str">
        <f>IFERROR(INDEX('Annex 1 LV, HV and UMS charges'!$B$12:$B$30,MATCH($A37,'Annex 1 LV, HV and UMS charges'!$A$12:$A$295,0)),INDEX('Annex 4 LDNO charges'!$B$12:$B$116,MATCH($A37,'Annex 4 LDNO charges'!$A$12:$A$116,0)))</f>
        <v>K31, K32, K33, K34</v>
      </c>
      <c r="C37" s="174" t="str">
        <f>IFERROR(INDEX('Annex 1 LV, HV and UMS charges'!$C$12:$C$30,MATCH($A37,'Annex 1 LV, HV and UMS charges'!$A$12:$A$295,0)),INDEX('Annex 4 LDNO charges'!$C$12:$C$116,MATCH($A37,'Annex 4 LDNO charges'!$A$12:$A$116,0)))</f>
        <v>0</v>
      </c>
      <c r="D37" s="36"/>
      <c r="E37" s="36"/>
      <c r="F37" s="193">
        <v>0.18871620741874301</v>
      </c>
    </row>
    <row r="38" spans="1:6" ht="27.75" customHeight="1" x14ac:dyDescent="0.2">
      <c r="A38" s="175" t="s">
        <v>1478</v>
      </c>
      <c r="B38" s="173" t="str">
        <f>IFERROR(INDEX('Annex 1 LV, HV and UMS charges'!$B$12:$B$30,MATCH($A38,'Annex 1 LV, HV and UMS charges'!$A$12:$A$295,0)),INDEX('Annex 4 LDNO charges'!$B$12:$B$116,MATCH($A38,'Annex 4 LDNO charges'!$A$12:$A$116,0)))</f>
        <v>E30</v>
      </c>
      <c r="C38" s="174">
        <f>IFERROR(INDEX('Annex 1 LV, HV and UMS charges'!$C$12:$C$30,MATCH($A38,'Annex 1 LV, HV and UMS charges'!$A$12:$A$295,0)),INDEX('Annex 4 LDNO charges'!$C$12:$C$116,MATCH($A38,'Annex 4 LDNO charges'!$A$12:$A$116,0)))</f>
        <v>0</v>
      </c>
      <c r="D38" s="36"/>
      <c r="E38" s="36"/>
      <c r="F38" s="193">
        <v>0.18871620741874301</v>
      </c>
    </row>
    <row r="39" spans="1:6" ht="27.75" customHeight="1" x14ac:dyDescent="0.2">
      <c r="A39" s="175" t="s">
        <v>1479</v>
      </c>
      <c r="B39" s="173" t="str">
        <f>IFERROR(INDEX('Annex 1 LV, HV and UMS charges'!$B$12:$B$30,MATCH($A39,'Annex 1 LV, HV and UMS charges'!$A$12:$A$295,0)),INDEX('Annex 4 LDNO charges'!$B$12:$B$116,MATCH($A39,'Annex 4 LDNO charges'!$A$12:$A$116,0)))</f>
        <v>J30</v>
      </c>
      <c r="C39" s="174">
        <f>IFERROR(INDEX('Annex 1 LV, HV and UMS charges'!$C$12:$C$30,MATCH($A39,'Annex 1 LV, HV and UMS charges'!$A$12:$A$295,0)),INDEX('Annex 4 LDNO charges'!$C$12:$C$116,MATCH($A39,'Annex 4 LDNO charges'!$A$12:$A$116,0)))</f>
        <v>0</v>
      </c>
      <c r="D39" s="36"/>
      <c r="E39" s="36"/>
      <c r="F39" s="193">
        <v>0.18871620741874301</v>
      </c>
    </row>
    <row r="40" spans="1:6" ht="27.75" customHeight="1" x14ac:dyDescent="0.2">
      <c r="A40" s="175" t="s">
        <v>1480</v>
      </c>
      <c r="B40" s="173" t="str">
        <f>IFERROR(INDEX('Annex 1 LV, HV and UMS charges'!$B$12:$B$30,MATCH($A40,'Annex 1 LV, HV and UMS charges'!$A$12:$A$295,0)),INDEX('Annex 4 LDNO charges'!$B$12:$B$116,MATCH($A40,'Annex 4 LDNO charges'!$A$12:$A$116,0)))</f>
        <v>K30</v>
      </c>
      <c r="C40" s="174">
        <f>IFERROR(INDEX('Annex 1 LV, HV and UMS charges'!$C$12:$C$30,MATCH($A40,'Annex 1 LV, HV and UMS charges'!$A$12:$A$295,0)),INDEX('Annex 4 LDNO charges'!$C$12:$C$116,MATCH($A40,'Annex 4 LDNO charges'!$A$12:$A$116,0)))</f>
        <v>0</v>
      </c>
      <c r="D40" s="36"/>
      <c r="E40" s="36"/>
      <c r="F40" s="193">
        <v>0.18871620741874301</v>
      </c>
    </row>
    <row r="41" spans="1:6" ht="27.75" customHeight="1" x14ac:dyDescent="0.2">
      <c r="A41" s="175" t="s">
        <v>470</v>
      </c>
      <c r="B41" s="173" t="str">
        <f>IFERROR(INDEX('Annex 1 LV, HV and UMS charges'!$B$12:$B$30,MATCH($A41,'Annex 1 LV, HV and UMS charges'!$A$12:$A$295,0)),INDEX('Annex 4 LDNO charges'!$B$12:$B$116,MATCH($A41,'Annex 4 LDNO charges'!$A$12:$A$116,0)))</f>
        <v>A40</v>
      </c>
      <c r="C41" s="174" t="str">
        <f>IFERROR(INDEX('Annex 1 LV, HV and UMS charges'!$C$12:$C$30,MATCH($A41,'Annex 1 LV, HV and UMS charges'!$A$12:$A$295,0)),INDEX('Annex 4 LDNO charges'!$C$12:$C$116,MATCH($A41,'Annex 4 LDNO charges'!$A$12:$A$116,0)))</f>
        <v>1, 2 or 0</v>
      </c>
      <c r="D41" s="193">
        <v>7.9313589463666234E-3</v>
      </c>
      <c r="E41" s="193"/>
      <c r="F41" s="193">
        <v>0.18871620741874301</v>
      </c>
    </row>
    <row r="42" spans="1:6" ht="27.75" customHeight="1" x14ac:dyDescent="0.2">
      <c r="A42" s="175" t="s">
        <v>472</v>
      </c>
      <c r="B42" s="173" t="str">
        <f>IFERROR(INDEX('Annex 1 LV, HV and UMS charges'!$B$12:$B$30,MATCH($A42,'Annex 1 LV, HV and UMS charges'!$A$12:$A$295,0)),INDEX('Annex 4 LDNO charges'!$B$12:$B$116,MATCH($A42,'Annex 4 LDNO charges'!$A$12:$A$116,0)))</f>
        <v>C40, C41, C42, C43, C44</v>
      </c>
      <c r="C42" s="174" t="str">
        <f>IFERROR(INDEX('Annex 1 LV, HV and UMS charges'!$C$12:$C$30,MATCH($A42,'Annex 1 LV, HV and UMS charges'!$A$12:$A$295,0)),INDEX('Annex 4 LDNO charges'!$C$12:$C$116,MATCH($A42,'Annex 4 LDNO charges'!$A$12:$A$116,0)))</f>
        <v>3-8 or 0</v>
      </c>
      <c r="D42" s="36"/>
      <c r="E42" s="36"/>
      <c r="F42" s="193">
        <v>0.18871620741874301</v>
      </c>
    </row>
    <row r="43" spans="1:6" ht="27.75" customHeight="1" x14ac:dyDescent="0.2">
      <c r="A43" s="175" t="s">
        <v>474</v>
      </c>
      <c r="B43" s="173" t="str">
        <f>IFERROR(INDEX('Annex 1 LV, HV and UMS charges'!$B$12:$B$30,MATCH($A43,'Annex 1 LV, HV and UMS charges'!$A$12:$A$295,0)),INDEX('Annex 4 LDNO charges'!$B$12:$B$116,MATCH($A43,'Annex 4 LDNO charges'!$A$12:$A$116,0)))</f>
        <v>E41, E42, E43, E44</v>
      </c>
      <c r="C43" s="174" t="str">
        <f>IFERROR(INDEX('Annex 1 LV, HV and UMS charges'!$C$12:$C$30,MATCH($A43,'Annex 1 LV, HV and UMS charges'!$A$12:$A$295,0)),INDEX('Annex 4 LDNO charges'!$C$12:$C$116,MATCH($A43,'Annex 4 LDNO charges'!$A$12:$A$116,0)))</f>
        <v>0</v>
      </c>
      <c r="D43" s="36"/>
      <c r="E43" s="36"/>
      <c r="F43" s="193">
        <v>0.18871620741874301</v>
      </c>
    </row>
    <row r="44" spans="1:6" ht="27.75" customHeight="1" x14ac:dyDescent="0.2">
      <c r="A44" s="175" t="s">
        <v>475</v>
      </c>
      <c r="B44" s="173" t="str">
        <f>IFERROR(INDEX('Annex 1 LV, HV and UMS charges'!$B$12:$B$30,MATCH($A44,'Annex 1 LV, HV and UMS charges'!$A$12:$A$295,0)),INDEX('Annex 4 LDNO charges'!$B$12:$B$116,MATCH($A44,'Annex 4 LDNO charges'!$A$12:$A$116,0)))</f>
        <v>J41, J42, J43, J44</v>
      </c>
      <c r="C44" s="174" t="str">
        <f>IFERROR(INDEX('Annex 1 LV, HV and UMS charges'!$C$12:$C$30,MATCH($A44,'Annex 1 LV, HV and UMS charges'!$A$12:$A$295,0)),INDEX('Annex 4 LDNO charges'!$C$12:$C$116,MATCH($A44,'Annex 4 LDNO charges'!$A$12:$A$116,0)))</f>
        <v>0</v>
      </c>
      <c r="D44" s="36"/>
      <c r="E44" s="36"/>
      <c r="F44" s="193">
        <v>0.18871620741874301</v>
      </c>
    </row>
    <row r="45" spans="1:6" ht="27.75" customHeight="1" x14ac:dyDescent="0.2">
      <c r="A45" s="175" t="s">
        <v>476</v>
      </c>
      <c r="B45" s="173" t="str">
        <f>IFERROR(INDEX('Annex 1 LV, HV and UMS charges'!$B$12:$B$30,MATCH($A45,'Annex 1 LV, HV and UMS charges'!$A$12:$A$295,0)),INDEX('Annex 4 LDNO charges'!$B$12:$B$116,MATCH($A45,'Annex 4 LDNO charges'!$A$12:$A$116,0)))</f>
        <v>K41, K42, K43, K44</v>
      </c>
      <c r="C45" s="174" t="str">
        <f>IFERROR(INDEX('Annex 1 LV, HV and UMS charges'!$C$12:$C$30,MATCH($A45,'Annex 1 LV, HV and UMS charges'!$A$12:$A$295,0)),INDEX('Annex 4 LDNO charges'!$C$12:$C$116,MATCH($A45,'Annex 4 LDNO charges'!$A$12:$A$116,0)))</f>
        <v>0</v>
      </c>
      <c r="D45" s="36"/>
      <c r="E45" s="36"/>
      <c r="F45" s="193">
        <v>0.18871620741874301</v>
      </c>
    </row>
    <row r="46" spans="1:6" ht="27.75" customHeight="1" x14ac:dyDescent="0.2">
      <c r="A46" s="175" t="s">
        <v>1481</v>
      </c>
      <c r="B46" s="173" t="str">
        <f>IFERROR(INDEX('Annex 1 LV, HV and UMS charges'!$B$12:$B$30,MATCH($A46,'Annex 1 LV, HV and UMS charges'!$A$12:$A$295,0)),INDEX('Annex 4 LDNO charges'!$B$12:$B$116,MATCH($A46,'Annex 4 LDNO charges'!$A$12:$A$116,0)))</f>
        <v>E40</v>
      </c>
      <c r="C46" s="174">
        <f>IFERROR(INDEX('Annex 1 LV, HV and UMS charges'!$C$12:$C$30,MATCH($A46,'Annex 1 LV, HV and UMS charges'!$A$12:$A$295,0)),INDEX('Annex 4 LDNO charges'!$C$12:$C$116,MATCH($A46,'Annex 4 LDNO charges'!$A$12:$A$116,0)))</f>
        <v>0</v>
      </c>
      <c r="D46" s="36"/>
      <c r="E46" s="36"/>
      <c r="F46" s="193">
        <v>0.18871620741874301</v>
      </c>
    </row>
    <row r="47" spans="1:6" ht="27.75" customHeight="1" x14ac:dyDescent="0.2">
      <c r="A47" s="175" t="s">
        <v>1482</v>
      </c>
      <c r="B47" s="173" t="str">
        <f>IFERROR(INDEX('Annex 1 LV, HV and UMS charges'!$B$12:$B$30,MATCH($A47,'Annex 1 LV, HV and UMS charges'!$A$12:$A$295,0)),INDEX('Annex 4 LDNO charges'!$B$12:$B$116,MATCH($A47,'Annex 4 LDNO charges'!$A$12:$A$116,0)))</f>
        <v>J40</v>
      </c>
      <c r="C47" s="174">
        <f>IFERROR(INDEX('Annex 1 LV, HV and UMS charges'!$C$12:$C$30,MATCH($A47,'Annex 1 LV, HV and UMS charges'!$A$12:$A$295,0)),INDEX('Annex 4 LDNO charges'!$C$12:$C$116,MATCH($A47,'Annex 4 LDNO charges'!$A$12:$A$116,0)))</f>
        <v>0</v>
      </c>
      <c r="D47" s="36"/>
      <c r="E47" s="36"/>
      <c r="F47" s="193">
        <v>0.18871620741874301</v>
      </c>
    </row>
    <row r="48" spans="1:6" ht="27.75" customHeight="1" x14ac:dyDescent="0.2">
      <c r="A48" s="175" t="s">
        <v>1483</v>
      </c>
      <c r="B48" s="173" t="str">
        <f>IFERROR(INDEX('Annex 1 LV, HV and UMS charges'!$B$12:$B$30,MATCH($A48,'Annex 1 LV, HV and UMS charges'!$A$12:$A$295,0)),INDEX('Annex 4 LDNO charges'!$B$12:$B$116,MATCH($A48,'Annex 4 LDNO charges'!$A$12:$A$116,0)))</f>
        <v>K40</v>
      </c>
      <c r="C48" s="174">
        <f>IFERROR(INDEX('Annex 1 LV, HV and UMS charges'!$C$12:$C$30,MATCH($A48,'Annex 1 LV, HV and UMS charges'!$A$12:$A$295,0)),INDEX('Annex 4 LDNO charges'!$C$12:$C$116,MATCH($A48,'Annex 4 LDNO charges'!$A$12:$A$116,0)))</f>
        <v>0</v>
      </c>
      <c r="D48" s="36"/>
      <c r="E48" s="36"/>
      <c r="F48" s="193">
        <v>0.18871620741874301</v>
      </c>
    </row>
    <row r="49" spans="1:6" ht="27.75" customHeight="1" x14ac:dyDescent="0.2">
      <c r="A49" s="175" t="s">
        <v>483</v>
      </c>
      <c r="B49" s="173" t="str">
        <f>IFERROR(INDEX('Annex 1 LV, HV and UMS charges'!$B$12:$B$30,MATCH($A49,'Annex 1 LV, HV and UMS charges'!$A$12:$A$295,0)),INDEX('Annex 4 LDNO charges'!$B$12:$B$116,MATCH($A49,'Annex 4 LDNO charges'!$A$12:$A$116,0)))</f>
        <v>A50</v>
      </c>
      <c r="C49" s="174" t="str">
        <f>IFERROR(INDEX('Annex 1 LV, HV and UMS charges'!$C$12:$C$30,MATCH($A49,'Annex 1 LV, HV and UMS charges'!$A$12:$A$295,0)),INDEX('Annex 4 LDNO charges'!$C$12:$C$116,MATCH($A49,'Annex 4 LDNO charges'!$A$12:$A$116,0)))</f>
        <v>1, 2 or 0</v>
      </c>
      <c r="D49" s="193">
        <v>7.9313589463666234E-3</v>
      </c>
      <c r="E49" s="193"/>
      <c r="F49" s="193">
        <v>0.18871620741874301</v>
      </c>
    </row>
    <row r="50" spans="1:6" ht="27.75" customHeight="1" x14ac:dyDescent="0.2">
      <c r="A50" s="175" t="s">
        <v>485</v>
      </c>
      <c r="B50" s="173" t="str">
        <f>IFERROR(INDEX('Annex 1 LV, HV and UMS charges'!$B$12:$B$30,MATCH($A50,'Annex 1 LV, HV and UMS charges'!$A$12:$A$295,0)),INDEX('Annex 4 LDNO charges'!$B$12:$B$116,MATCH($A50,'Annex 4 LDNO charges'!$A$12:$A$116,0)))</f>
        <v>C50, C51, C52, C53, C54</v>
      </c>
      <c r="C50" s="174" t="str">
        <f>IFERROR(INDEX('Annex 1 LV, HV and UMS charges'!$C$12:$C$30,MATCH($A50,'Annex 1 LV, HV and UMS charges'!$A$12:$A$295,0)),INDEX('Annex 4 LDNO charges'!$C$12:$C$116,MATCH($A50,'Annex 4 LDNO charges'!$A$12:$A$116,0)))</f>
        <v>3-8 or 0</v>
      </c>
      <c r="D50" s="36"/>
      <c r="E50" s="36"/>
      <c r="F50" s="193">
        <v>0.18871620741874301</v>
      </c>
    </row>
    <row r="51" spans="1:6" ht="27.75" customHeight="1" x14ac:dyDescent="0.2">
      <c r="A51" s="175" t="s">
        <v>487</v>
      </c>
      <c r="B51" s="173" t="str">
        <f>IFERROR(INDEX('Annex 1 LV, HV and UMS charges'!$B$12:$B$30,MATCH($A51,'Annex 1 LV, HV and UMS charges'!$A$12:$A$295,0)),INDEX('Annex 4 LDNO charges'!$B$12:$B$116,MATCH($A51,'Annex 4 LDNO charges'!$A$12:$A$116,0)))</f>
        <v>E51, E52, E53, E54</v>
      </c>
      <c r="C51" s="174" t="str">
        <f>IFERROR(INDEX('Annex 1 LV, HV and UMS charges'!$C$12:$C$30,MATCH($A51,'Annex 1 LV, HV and UMS charges'!$A$12:$A$295,0)),INDEX('Annex 4 LDNO charges'!$C$12:$C$116,MATCH($A51,'Annex 4 LDNO charges'!$A$12:$A$116,0)))</f>
        <v>0</v>
      </c>
      <c r="D51" s="36"/>
      <c r="E51" s="36"/>
      <c r="F51" s="193">
        <v>0.18871620741874301</v>
      </c>
    </row>
    <row r="52" spans="1:6" ht="27.75" customHeight="1" x14ac:dyDescent="0.2">
      <c r="A52" s="175" t="s">
        <v>488</v>
      </c>
      <c r="B52" s="173" t="str">
        <f>IFERROR(INDEX('Annex 1 LV, HV and UMS charges'!$B$12:$B$30,MATCH($A52,'Annex 1 LV, HV and UMS charges'!$A$12:$A$295,0)),INDEX('Annex 4 LDNO charges'!$B$12:$B$116,MATCH($A52,'Annex 4 LDNO charges'!$A$12:$A$116,0)))</f>
        <v>J51, J52, J53, J54</v>
      </c>
      <c r="C52" s="174" t="str">
        <f>IFERROR(INDEX('Annex 1 LV, HV and UMS charges'!$C$12:$C$30,MATCH($A52,'Annex 1 LV, HV and UMS charges'!$A$12:$A$295,0)),INDEX('Annex 4 LDNO charges'!$C$12:$C$116,MATCH($A52,'Annex 4 LDNO charges'!$A$12:$A$116,0)))</f>
        <v>0</v>
      </c>
      <c r="D52" s="36"/>
      <c r="E52" s="36"/>
      <c r="F52" s="193">
        <v>0.18871620741874301</v>
      </c>
    </row>
    <row r="53" spans="1:6" ht="27.75" customHeight="1" x14ac:dyDescent="0.2">
      <c r="A53" s="175" t="s">
        <v>489</v>
      </c>
      <c r="B53" s="173" t="str">
        <f>IFERROR(INDEX('Annex 1 LV, HV and UMS charges'!$B$12:$B$30,MATCH($A53,'Annex 1 LV, HV and UMS charges'!$A$12:$A$295,0)),INDEX('Annex 4 LDNO charges'!$B$12:$B$116,MATCH($A53,'Annex 4 LDNO charges'!$A$12:$A$116,0)))</f>
        <v>K51, K52, K53, K54</v>
      </c>
      <c r="C53" s="174" t="str">
        <f>IFERROR(INDEX('Annex 1 LV, HV and UMS charges'!$C$12:$C$30,MATCH($A53,'Annex 1 LV, HV and UMS charges'!$A$12:$A$295,0)),INDEX('Annex 4 LDNO charges'!$C$12:$C$116,MATCH($A53,'Annex 4 LDNO charges'!$A$12:$A$116,0)))</f>
        <v>0</v>
      </c>
      <c r="D53" s="36"/>
      <c r="E53" s="36"/>
      <c r="F53" s="193">
        <v>0.18871620741874301</v>
      </c>
    </row>
    <row r="54" spans="1:6" ht="27.75" customHeight="1" x14ac:dyDescent="0.2">
      <c r="A54" s="175" t="s">
        <v>1484</v>
      </c>
      <c r="B54" s="173" t="str">
        <f>IFERROR(INDEX('Annex 1 LV, HV and UMS charges'!$B$12:$B$30,MATCH($A54,'Annex 1 LV, HV and UMS charges'!$A$12:$A$295,0)),INDEX('Annex 4 LDNO charges'!$B$12:$B$116,MATCH($A54,'Annex 4 LDNO charges'!$A$12:$A$116,0)))</f>
        <v>E50</v>
      </c>
      <c r="C54" s="174">
        <f>IFERROR(INDEX('Annex 1 LV, HV and UMS charges'!$C$12:$C$30,MATCH($A54,'Annex 1 LV, HV and UMS charges'!$A$12:$A$295,0)),INDEX('Annex 4 LDNO charges'!$C$12:$C$116,MATCH($A54,'Annex 4 LDNO charges'!$A$12:$A$116,0)))</f>
        <v>0</v>
      </c>
      <c r="D54" s="36"/>
      <c r="E54" s="36"/>
      <c r="F54" s="193">
        <v>0.18871620741874301</v>
      </c>
    </row>
    <row r="55" spans="1:6" ht="27.75" customHeight="1" x14ac:dyDescent="0.2">
      <c r="A55" s="175" t="s">
        <v>1485</v>
      </c>
      <c r="B55" s="173" t="str">
        <f>IFERROR(INDEX('Annex 1 LV, HV and UMS charges'!$B$12:$B$30,MATCH($A55,'Annex 1 LV, HV and UMS charges'!$A$12:$A$295,0)),INDEX('Annex 4 LDNO charges'!$B$12:$B$116,MATCH($A55,'Annex 4 LDNO charges'!$A$12:$A$116,0)))</f>
        <v>J50</v>
      </c>
      <c r="C55" s="174">
        <f>IFERROR(INDEX('Annex 1 LV, HV and UMS charges'!$C$12:$C$30,MATCH($A55,'Annex 1 LV, HV and UMS charges'!$A$12:$A$295,0)),INDEX('Annex 4 LDNO charges'!$C$12:$C$116,MATCH($A55,'Annex 4 LDNO charges'!$A$12:$A$116,0)))</f>
        <v>0</v>
      </c>
      <c r="D55" s="36"/>
      <c r="E55" s="36"/>
      <c r="F55" s="193">
        <v>0.18871620741874301</v>
      </c>
    </row>
    <row r="56" spans="1:6" ht="27.75" customHeight="1" x14ac:dyDescent="0.2">
      <c r="A56" s="175" t="s">
        <v>1486</v>
      </c>
      <c r="B56" s="173" t="str">
        <f>IFERROR(INDEX('Annex 1 LV, HV and UMS charges'!$B$12:$B$30,MATCH($A56,'Annex 1 LV, HV and UMS charges'!$A$12:$A$295,0)),INDEX('Annex 4 LDNO charges'!$B$12:$B$116,MATCH($A56,'Annex 4 LDNO charges'!$A$12:$A$116,0)))</f>
        <v>K50</v>
      </c>
      <c r="C56" s="174">
        <f>IFERROR(INDEX('Annex 1 LV, HV and UMS charges'!$C$12:$C$30,MATCH($A56,'Annex 1 LV, HV and UMS charges'!$A$12:$A$295,0)),INDEX('Annex 4 LDNO charges'!$C$12:$C$116,MATCH($A56,'Annex 4 LDNO charges'!$A$12:$A$116,0)))</f>
        <v>0</v>
      </c>
      <c r="D56" s="36"/>
      <c r="E56" s="36"/>
      <c r="F56" s="193">
        <v>0.18871620741874301</v>
      </c>
    </row>
    <row r="57" spans="1:6" ht="27.75" customHeight="1" x14ac:dyDescent="0.2">
      <c r="A57" s="175" t="s">
        <v>496</v>
      </c>
      <c r="B57" s="173" t="str">
        <f>IFERROR(INDEX('Annex 1 LV, HV and UMS charges'!$B$12:$B$30,MATCH($A57,'Annex 1 LV, HV and UMS charges'!$A$12:$A$295,0)),INDEX('Annex 4 LDNO charges'!$B$12:$B$116,MATCH($A57,'Annex 4 LDNO charges'!$A$12:$A$116,0)))</f>
        <v>A60</v>
      </c>
      <c r="C57" s="174" t="str">
        <f>IFERROR(INDEX('Annex 1 LV, HV and UMS charges'!$C$12:$C$30,MATCH($A57,'Annex 1 LV, HV and UMS charges'!$A$12:$A$295,0)),INDEX('Annex 4 LDNO charges'!$C$12:$C$116,MATCH($A57,'Annex 4 LDNO charges'!$A$12:$A$116,0)))</f>
        <v>1, 2 or 0</v>
      </c>
      <c r="D57" s="193">
        <v>7.9313589463666234E-3</v>
      </c>
      <c r="E57" s="193"/>
      <c r="F57" s="193">
        <v>0.18871620741874301</v>
      </c>
    </row>
    <row r="58" spans="1:6" ht="27.75" customHeight="1" x14ac:dyDescent="0.2">
      <c r="A58" s="175" t="s">
        <v>498</v>
      </c>
      <c r="B58" s="173" t="str">
        <f>IFERROR(INDEX('Annex 1 LV, HV and UMS charges'!$B$12:$B$30,MATCH($A58,'Annex 1 LV, HV and UMS charges'!$A$12:$A$295,0)),INDEX('Annex 4 LDNO charges'!$B$12:$B$116,MATCH($A58,'Annex 4 LDNO charges'!$A$12:$A$116,0)))</f>
        <v>C60, C61, C62, C63, C64</v>
      </c>
      <c r="C58" s="174" t="str">
        <f>IFERROR(INDEX('Annex 1 LV, HV and UMS charges'!$C$12:$C$30,MATCH($A58,'Annex 1 LV, HV and UMS charges'!$A$12:$A$295,0)),INDEX('Annex 4 LDNO charges'!$C$12:$C$116,MATCH($A58,'Annex 4 LDNO charges'!$A$12:$A$116,0)))</f>
        <v>3-8 or 0</v>
      </c>
      <c r="D58" s="36"/>
      <c r="E58" s="36"/>
      <c r="F58" s="193">
        <v>0.18871620741874301</v>
      </c>
    </row>
    <row r="59" spans="1:6" ht="27.75" customHeight="1" x14ac:dyDescent="0.2">
      <c r="A59" s="175" t="s">
        <v>500</v>
      </c>
      <c r="B59" s="173" t="str">
        <f>IFERROR(INDEX('Annex 1 LV, HV and UMS charges'!$B$12:$B$30,MATCH($A59,'Annex 1 LV, HV and UMS charges'!$A$12:$A$295,0)),INDEX('Annex 4 LDNO charges'!$B$12:$B$116,MATCH($A59,'Annex 4 LDNO charges'!$A$12:$A$116,0)))</f>
        <v>E61, E62, E63, E64</v>
      </c>
      <c r="C59" s="174" t="str">
        <f>IFERROR(INDEX('Annex 1 LV, HV and UMS charges'!$C$12:$C$30,MATCH($A59,'Annex 1 LV, HV and UMS charges'!$A$12:$A$295,0)),INDEX('Annex 4 LDNO charges'!$C$12:$C$116,MATCH($A59,'Annex 4 LDNO charges'!$A$12:$A$116,0)))</f>
        <v>0</v>
      </c>
      <c r="D59" s="36"/>
      <c r="E59" s="36"/>
      <c r="F59" s="193">
        <v>0.18871620741874301</v>
      </c>
    </row>
    <row r="60" spans="1:6" ht="27.75" customHeight="1" x14ac:dyDescent="0.2">
      <c r="A60" s="175" t="s">
        <v>501</v>
      </c>
      <c r="B60" s="173" t="str">
        <f>IFERROR(INDEX('Annex 1 LV, HV and UMS charges'!$B$12:$B$30,MATCH($A60,'Annex 1 LV, HV and UMS charges'!$A$12:$A$295,0)),INDEX('Annex 4 LDNO charges'!$B$12:$B$116,MATCH($A60,'Annex 4 LDNO charges'!$A$12:$A$116,0)))</f>
        <v>J61, J62, J63, J64</v>
      </c>
      <c r="C60" s="174" t="str">
        <f>IFERROR(INDEX('Annex 1 LV, HV and UMS charges'!$C$12:$C$30,MATCH($A60,'Annex 1 LV, HV and UMS charges'!$A$12:$A$295,0)),INDEX('Annex 4 LDNO charges'!$C$12:$C$116,MATCH($A60,'Annex 4 LDNO charges'!$A$12:$A$116,0)))</f>
        <v>0</v>
      </c>
      <c r="D60" s="36"/>
      <c r="E60" s="36"/>
      <c r="F60" s="193">
        <v>0.18871620741874301</v>
      </c>
    </row>
    <row r="61" spans="1:6" ht="27.75" customHeight="1" x14ac:dyDescent="0.2">
      <c r="A61" s="175" t="s">
        <v>502</v>
      </c>
      <c r="B61" s="173" t="str">
        <f>IFERROR(INDEX('Annex 1 LV, HV and UMS charges'!$B$12:$B$30,MATCH($A61,'Annex 1 LV, HV and UMS charges'!$A$12:$A$295,0)),INDEX('Annex 4 LDNO charges'!$B$12:$B$116,MATCH($A61,'Annex 4 LDNO charges'!$A$12:$A$116,0)))</f>
        <v>K61, K62, K63, K64</v>
      </c>
      <c r="C61" s="174" t="str">
        <f>IFERROR(INDEX('Annex 1 LV, HV and UMS charges'!$C$12:$C$30,MATCH($A61,'Annex 1 LV, HV and UMS charges'!$A$12:$A$295,0)),INDEX('Annex 4 LDNO charges'!$C$12:$C$116,MATCH($A61,'Annex 4 LDNO charges'!$A$12:$A$116,0)))</f>
        <v>0</v>
      </c>
      <c r="D61" s="36"/>
      <c r="E61" s="36"/>
      <c r="F61" s="193">
        <v>0.1887162074187432</v>
      </c>
    </row>
    <row r="62" spans="1:6" ht="27.75" customHeight="1" x14ac:dyDescent="0.2">
      <c r="A62" s="175" t="s">
        <v>1487</v>
      </c>
      <c r="B62" s="173" t="str">
        <f>IFERROR(INDEX('Annex 1 LV, HV and UMS charges'!$B$12:$B$30,MATCH($A62,'Annex 1 LV, HV and UMS charges'!$A$12:$A$295,0)),INDEX('Annex 4 LDNO charges'!$B$12:$B$116,MATCH($A62,'Annex 4 LDNO charges'!$A$12:$A$116,0)))</f>
        <v>E60</v>
      </c>
      <c r="C62" s="174">
        <f>IFERROR(INDEX('Annex 1 LV, HV and UMS charges'!$C$12:$C$30,MATCH($A62,'Annex 1 LV, HV and UMS charges'!$A$12:$A$295,0)),INDEX('Annex 4 LDNO charges'!$C$12:$C$116,MATCH($A62,'Annex 4 LDNO charges'!$A$12:$A$116,0)))</f>
        <v>0</v>
      </c>
      <c r="D62" s="36"/>
      <c r="E62" s="36"/>
      <c r="F62" s="193">
        <v>0.18871620741874301</v>
      </c>
    </row>
    <row r="63" spans="1:6" ht="27.75" customHeight="1" x14ac:dyDescent="0.2">
      <c r="A63" s="175" t="s">
        <v>1488</v>
      </c>
      <c r="B63" s="173" t="str">
        <f>IFERROR(INDEX('Annex 1 LV, HV and UMS charges'!$B$12:$B$30,MATCH($A63,'Annex 1 LV, HV and UMS charges'!$A$12:$A$295,0)),INDEX('Annex 4 LDNO charges'!$B$12:$B$116,MATCH($A63,'Annex 4 LDNO charges'!$A$12:$A$116,0)))</f>
        <v>J60</v>
      </c>
      <c r="C63" s="174">
        <f>IFERROR(INDEX('Annex 1 LV, HV and UMS charges'!$C$12:$C$30,MATCH($A63,'Annex 1 LV, HV and UMS charges'!$A$12:$A$295,0)),INDEX('Annex 4 LDNO charges'!$C$12:$C$116,MATCH($A63,'Annex 4 LDNO charges'!$A$12:$A$116,0)))</f>
        <v>0</v>
      </c>
      <c r="D63" s="36"/>
      <c r="E63" s="36"/>
      <c r="F63" s="193">
        <v>0.18871620741874301</v>
      </c>
    </row>
    <row r="64" spans="1:6" ht="27.75" customHeight="1" x14ac:dyDescent="0.2">
      <c r="A64" s="175" t="s">
        <v>1489</v>
      </c>
      <c r="B64" s="173" t="str">
        <f>IFERROR(INDEX('Annex 1 LV, HV and UMS charges'!$B$12:$B$30,MATCH($A64,'Annex 1 LV, HV and UMS charges'!$A$12:$A$295,0)),INDEX('Annex 4 LDNO charges'!$B$12:$B$116,MATCH($A64,'Annex 4 LDNO charges'!$A$12:$A$116,0)))</f>
        <v>K60</v>
      </c>
      <c r="C64" s="174">
        <f>IFERROR(INDEX('Annex 1 LV, HV and UMS charges'!$C$12:$C$30,MATCH($A64,'Annex 1 LV, HV and UMS charges'!$A$12:$A$295,0)),INDEX('Annex 4 LDNO charges'!$C$12:$C$116,MATCH($A64,'Annex 4 LDNO charges'!$A$12:$A$116,0)))</f>
        <v>0</v>
      </c>
      <c r="D64" s="36"/>
      <c r="E64" s="36"/>
      <c r="F64" s="193">
        <v>0.18871620741874301</v>
      </c>
    </row>
    <row r="65" spans="1:1" ht="27.75" customHeight="1" x14ac:dyDescent="0.2">
      <c r="A65" s="2" t="s">
        <v>510</v>
      </c>
    </row>
    <row r="66" spans="1:1" ht="27.75" customHeight="1" x14ac:dyDescent="0.2">
      <c r="A66" s="2" t="s">
        <v>511</v>
      </c>
    </row>
    <row r="67" spans="1:1" ht="27.75" customHeight="1" x14ac:dyDescent="0.2">
      <c r="A67" s="2" t="s">
        <v>512</v>
      </c>
    </row>
  </sheetData>
  <mergeCells count="2">
    <mergeCell ref="A2:F2"/>
    <mergeCell ref="B1:C1"/>
  </mergeCells>
  <hyperlinks>
    <hyperlink ref="A1" location="Overview!A1" display="Back to Overview"/>
  </hyperlinks>
  <printOptions horizontalCentered="1"/>
  <pageMargins left="0.39370078740157483" right="0.39370078740157483" top="0.9055118110236221" bottom="0.74803149606299213" header="0.51181102362204722" footer="0.51181102362204722"/>
  <pageSetup paperSize="9" scale="65" fitToHeight="0" orientation="portrait" r:id="rId1"/>
  <headerFooter differentFirst="1" scaleWithDoc="0">
    <oddFooter>&amp;R&amp;P of &amp;N</oddFooter>
    <firstHeader>&amp;L
Annex 7 - Schedule of Charges to recover Excess Supplier of Last Resort pass-through costs</firstHeader>
    <firstFooter>&amp;R&amp;P of &amp;N</firstFooter>
  </headerFooter>
  <rowBreaks count="1" manualBreakCount="1">
    <brk id="35"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446"/>
  <sheetViews>
    <sheetView zoomScale="85" zoomScaleNormal="85"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3" t="s">
        <v>18</v>
      </c>
      <c r="B1" s="3"/>
      <c r="C1" s="2"/>
      <c r="E1" s="8"/>
      <c r="F1" s="4"/>
      <c r="G1" s="4"/>
    </row>
    <row r="2" spans="1:7" s="9" customFormat="1" ht="22.5" customHeight="1" x14ac:dyDescent="0.2">
      <c r="A2" s="261" t="str">
        <f>Overview!B4&amp; " - Effective from "&amp;Overview!D4&amp;" - "&amp;Overview!E4&amp;" Nodal/Zonal charges"</f>
        <v>South Eastern Power Networks - Effective from 1 April 2021 - Final Nodal/Zonal charges</v>
      </c>
      <c r="B2" s="262"/>
      <c r="C2" s="262"/>
      <c r="D2" s="263"/>
    </row>
    <row r="3" spans="1:7" ht="60.75" customHeight="1" x14ac:dyDescent="0.2">
      <c r="A3" s="20" t="s">
        <v>51</v>
      </c>
      <c r="B3" s="20" t="s">
        <v>1</v>
      </c>
      <c r="C3" s="20" t="s">
        <v>33</v>
      </c>
      <c r="D3" s="20" t="s">
        <v>34</v>
      </c>
    </row>
    <row r="4" spans="1:7" ht="21.75" customHeight="1" x14ac:dyDescent="0.2">
      <c r="A4" s="195" t="s">
        <v>688</v>
      </c>
      <c r="B4" s="195" t="s">
        <v>1131</v>
      </c>
      <c r="C4" s="194">
        <v>0.15085037814815011</v>
      </c>
      <c r="D4" s="194">
        <v>0.57745167665801511</v>
      </c>
    </row>
    <row r="5" spans="1:7" ht="21.75" customHeight="1" x14ac:dyDescent="0.2">
      <c r="A5" s="195" t="s">
        <v>689</v>
      </c>
      <c r="B5" s="195" t="s">
        <v>1131</v>
      </c>
      <c r="C5" s="194">
        <v>0.15085037814815011</v>
      </c>
      <c r="D5" s="194">
        <v>0.57745167665801511</v>
      </c>
    </row>
    <row r="6" spans="1:7" ht="21.75" customHeight="1" x14ac:dyDescent="0.2">
      <c r="A6" s="195" t="s">
        <v>690</v>
      </c>
      <c r="B6" s="195" t="s">
        <v>1132</v>
      </c>
      <c r="C6" s="194">
        <v>0</v>
      </c>
      <c r="D6" s="194">
        <v>8.3999824067598414</v>
      </c>
    </row>
    <row r="7" spans="1:7" ht="21.75" customHeight="1" x14ac:dyDescent="0.2">
      <c r="A7" s="195" t="s">
        <v>691</v>
      </c>
      <c r="B7" s="195" t="s">
        <v>1133</v>
      </c>
      <c r="C7" s="194">
        <v>0.21257181020244001</v>
      </c>
      <c r="D7" s="194">
        <v>8.5967272883049688</v>
      </c>
    </row>
    <row r="8" spans="1:7" ht="21.75" customHeight="1" x14ac:dyDescent="0.2">
      <c r="A8" s="195" t="s">
        <v>692</v>
      </c>
      <c r="B8" s="195" t="s">
        <v>1133</v>
      </c>
      <c r="C8" s="194">
        <v>3.2849621500324701E-2</v>
      </c>
      <c r="D8" s="194">
        <v>8.4855915744561834</v>
      </c>
    </row>
    <row r="9" spans="1:7" ht="21.75" customHeight="1" x14ac:dyDescent="0.2">
      <c r="A9" s="195" t="s">
        <v>693</v>
      </c>
      <c r="B9" s="195" t="s">
        <v>1134</v>
      </c>
      <c r="C9" s="194">
        <v>0</v>
      </c>
      <c r="D9" s="194">
        <v>0</v>
      </c>
    </row>
    <row r="10" spans="1:7" ht="21.75" customHeight="1" x14ac:dyDescent="0.2">
      <c r="A10" s="195" t="s">
        <v>694</v>
      </c>
      <c r="B10" s="195" t="s">
        <v>1135</v>
      </c>
      <c r="C10" s="194">
        <v>-0.98762527835160718</v>
      </c>
      <c r="D10" s="194">
        <v>3.7099884181534737</v>
      </c>
    </row>
    <row r="11" spans="1:7" ht="21.75" customHeight="1" x14ac:dyDescent="0.2">
      <c r="A11" s="195" t="s">
        <v>695</v>
      </c>
      <c r="B11" s="195" t="s">
        <v>1135</v>
      </c>
      <c r="C11" s="194">
        <v>-5.4859678898796976E-2</v>
      </c>
      <c r="D11" s="194">
        <v>15.117429950597915</v>
      </c>
    </row>
    <row r="12" spans="1:7" ht="21.75" customHeight="1" x14ac:dyDescent="0.2">
      <c r="A12" s="195" t="s">
        <v>696</v>
      </c>
      <c r="B12" s="195" t="s">
        <v>1447</v>
      </c>
      <c r="C12" s="194">
        <v>0.85185084148426438</v>
      </c>
      <c r="D12" s="194">
        <v>1.4517702213727519</v>
      </c>
    </row>
    <row r="13" spans="1:7" ht="21.75" customHeight="1" x14ac:dyDescent="0.2">
      <c r="A13" s="195" t="s">
        <v>697</v>
      </c>
      <c r="B13" s="195" t="s">
        <v>1447</v>
      </c>
      <c r="C13" s="194">
        <v>0</v>
      </c>
      <c r="D13" s="194">
        <v>3.8286703152520412</v>
      </c>
    </row>
    <row r="14" spans="1:7" ht="21.75" customHeight="1" x14ac:dyDescent="0.2">
      <c r="A14" s="195" t="s">
        <v>698</v>
      </c>
      <c r="B14" s="196" t="s">
        <v>1447</v>
      </c>
      <c r="C14" s="194">
        <v>0</v>
      </c>
      <c r="D14" s="194">
        <v>0</v>
      </c>
    </row>
    <row r="15" spans="1:7" ht="21.75" customHeight="1" x14ac:dyDescent="0.2">
      <c r="A15" s="195" t="s">
        <v>699</v>
      </c>
      <c r="B15" s="195" t="s">
        <v>1136</v>
      </c>
      <c r="C15" s="194">
        <v>-0.22493662306337625</v>
      </c>
      <c r="D15" s="194">
        <v>2.9064819033147122</v>
      </c>
    </row>
    <row r="16" spans="1:7" ht="21.75" customHeight="1" x14ac:dyDescent="0.2">
      <c r="A16" s="195" t="s">
        <v>700</v>
      </c>
      <c r="B16" s="195" t="s">
        <v>1137</v>
      </c>
      <c r="C16" s="194">
        <v>-6.1936498831266257E-2</v>
      </c>
      <c r="D16" s="194">
        <v>2.4551530907664119E-2</v>
      </c>
    </row>
    <row r="17" spans="1:4" ht="21.75" customHeight="1" x14ac:dyDescent="0.2">
      <c r="A17" s="195" t="s">
        <v>701</v>
      </c>
      <c r="B17" s="195" t="s">
        <v>1137</v>
      </c>
      <c r="C17" s="194">
        <v>0</v>
      </c>
      <c r="D17" s="194">
        <v>0</v>
      </c>
    </row>
    <row r="18" spans="1:4" ht="21.75" customHeight="1" x14ac:dyDescent="0.2">
      <c r="A18" s="195" t="s">
        <v>702</v>
      </c>
      <c r="B18" s="195" t="s">
        <v>1138</v>
      </c>
      <c r="C18" s="194">
        <v>0.22190271711239701</v>
      </c>
      <c r="D18" s="194">
        <v>3.9501267452176867</v>
      </c>
    </row>
    <row r="19" spans="1:4" ht="21.75" customHeight="1" x14ac:dyDescent="0.2">
      <c r="A19" s="195" t="s">
        <v>703</v>
      </c>
      <c r="B19" s="195" t="s">
        <v>1139</v>
      </c>
      <c r="C19" s="194">
        <v>0.57310291899685184</v>
      </c>
      <c r="D19" s="194">
        <v>-0.22897491126518915</v>
      </c>
    </row>
    <row r="20" spans="1:4" ht="21.75" customHeight="1" x14ac:dyDescent="0.2">
      <c r="A20" s="195" t="s">
        <v>704</v>
      </c>
      <c r="B20" s="195" t="s">
        <v>1140</v>
      </c>
      <c r="C20" s="194">
        <v>0.75847510107137717</v>
      </c>
      <c r="D20" s="194">
        <v>0.40330350098395995</v>
      </c>
    </row>
    <row r="21" spans="1:4" ht="21.75" customHeight="1" x14ac:dyDescent="0.2">
      <c r="A21" s="195" t="s">
        <v>705</v>
      </c>
      <c r="B21" s="195" t="s">
        <v>1140</v>
      </c>
      <c r="C21" s="194">
        <v>0.75847510107137717</v>
      </c>
      <c r="D21" s="194">
        <v>0.40330350098395995</v>
      </c>
    </row>
    <row r="22" spans="1:4" ht="21.75" customHeight="1" x14ac:dyDescent="0.2">
      <c r="A22" s="195" t="s">
        <v>706</v>
      </c>
      <c r="B22" s="195" t="s">
        <v>1141</v>
      </c>
      <c r="C22" s="194">
        <v>1.8853963076092981</v>
      </c>
      <c r="D22" s="194">
        <v>9.691783652186702</v>
      </c>
    </row>
    <row r="23" spans="1:4" ht="21.75" customHeight="1" x14ac:dyDescent="0.2">
      <c r="A23" s="195" t="s">
        <v>707</v>
      </c>
      <c r="B23" s="195" t="s">
        <v>1142</v>
      </c>
      <c r="C23" s="194">
        <v>0</v>
      </c>
      <c r="D23" s="194">
        <v>1.9561407359264937</v>
      </c>
    </row>
    <row r="24" spans="1:4" ht="21.75" customHeight="1" x14ac:dyDescent="0.2">
      <c r="A24" s="195" t="s">
        <v>708</v>
      </c>
      <c r="B24" s="195" t="s">
        <v>1143</v>
      </c>
      <c r="C24" s="194">
        <v>0.84133048954584733</v>
      </c>
      <c r="D24" s="194">
        <v>-0.22533515975350393</v>
      </c>
    </row>
    <row r="25" spans="1:4" ht="21.75" customHeight="1" x14ac:dyDescent="0.2">
      <c r="A25" s="195" t="s">
        <v>709</v>
      </c>
      <c r="B25" s="195" t="s">
        <v>1143</v>
      </c>
      <c r="C25" s="194">
        <v>1.0042840893895422</v>
      </c>
      <c r="D25" s="194">
        <v>5.3393358066315733E-2</v>
      </c>
    </row>
    <row r="26" spans="1:4" ht="21.75" customHeight="1" x14ac:dyDescent="0.2">
      <c r="A26" s="195" t="s">
        <v>710</v>
      </c>
      <c r="B26" s="195" t="s">
        <v>1446</v>
      </c>
      <c r="C26" s="194">
        <v>0.10488649777087455</v>
      </c>
      <c r="D26" s="194">
        <v>0.43424670662003029</v>
      </c>
    </row>
    <row r="27" spans="1:4" ht="21.75" customHeight="1" x14ac:dyDescent="0.2">
      <c r="A27" s="195" t="s">
        <v>711</v>
      </c>
      <c r="B27" s="195" t="s">
        <v>1144</v>
      </c>
      <c r="C27" s="194">
        <v>1.01774720379024</v>
      </c>
      <c r="D27" s="194">
        <v>4.0587882906572155</v>
      </c>
    </row>
    <row r="28" spans="1:4" ht="21.75" customHeight="1" x14ac:dyDescent="0.2">
      <c r="A28" s="195" t="s">
        <v>712</v>
      </c>
      <c r="B28" s="195" t="s">
        <v>1145</v>
      </c>
      <c r="C28" s="194">
        <v>0.71734347109118202</v>
      </c>
      <c r="D28" s="194">
        <v>2.7046519725101139</v>
      </c>
    </row>
    <row r="29" spans="1:4" ht="21.75" customHeight="1" x14ac:dyDescent="0.2">
      <c r="A29" s="195" t="s">
        <v>713</v>
      </c>
      <c r="B29" s="195" t="s">
        <v>1146</v>
      </c>
      <c r="C29" s="194">
        <v>1.146162386410237</v>
      </c>
      <c r="D29" s="194">
        <v>18.580002868480474</v>
      </c>
    </row>
    <row r="30" spans="1:4" ht="21.75" customHeight="1" x14ac:dyDescent="0.2">
      <c r="A30" s="195" t="s">
        <v>714</v>
      </c>
      <c r="B30" s="195" t="s">
        <v>1147</v>
      </c>
      <c r="C30" s="194">
        <v>0.89148035473756937</v>
      </c>
      <c r="D30" s="194">
        <v>12.52008246666173</v>
      </c>
    </row>
    <row r="31" spans="1:4" ht="21.75" customHeight="1" x14ac:dyDescent="0.2">
      <c r="A31" s="195" t="s">
        <v>715</v>
      </c>
      <c r="B31" s="195" t="s">
        <v>1148</v>
      </c>
      <c r="C31" s="194">
        <v>0</v>
      </c>
      <c r="D31" s="194">
        <v>0</v>
      </c>
    </row>
    <row r="32" spans="1:4" ht="21.75" customHeight="1" x14ac:dyDescent="0.2">
      <c r="A32" s="195" t="s">
        <v>716</v>
      </c>
      <c r="B32" s="195" t="s">
        <v>1148</v>
      </c>
      <c r="C32" s="194">
        <v>0</v>
      </c>
      <c r="D32" s="194">
        <v>0</v>
      </c>
    </row>
    <row r="33" spans="1:4" ht="21.75" customHeight="1" x14ac:dyDescent="0.2">
      <c r="A33" s="195" t="s">
        <v>717</v>
      </c>
      <c r="B33" s="195" t="s">
        <v>1148</v>
      </c>
      <c r="C33" s="194">
        <v>4.43856083846069E-3</v>
      </c>
      <c r="D33" s="194">
        <v>0</v>
      </c>
    </row>
    <row r="34" spans="1:4" ht="21.75" customHeight="1" x14ac:dyDescent="0.2">
      <c r="A34" s="195" t="s">
        <v>718</v>
      </c>
      <c r="B34" s="195" t="s">
        <v>1448</v>
      </c>
      <c r="C34" s="194">
        <v>0</v>
      </c>
      <c r="D34" s="194">
        <v>0</v>
      </c>
    </row>
    <row r="35" spans="1:4" ht="21.75" customHeight="1" x14ac:dyDescent="0.2">
      <c r="A35" s="195" t="s">
        <v>719</v>
      </c>
      <c r="B35" s="195" t="s">
        <v>1448</v>
      </c>
      <c r="C35" s="194">
        <v>0</v>
      </c>
      <c r="D35" s="194">
        <v>0</v>
      </c>
    </row>
    <row r="36" spans="1:4" ht="21.75" customHeight="1" x14ac:dyDescent="0.2">
      <c r="A36" s="195" t="s">
        <v>720</v>
      </c>
      <c r="B36" s="195" t="s">
        <v>1445</v>
      </c>
      <c r="C36" s="194">
        <v>0.45021847081734256</v>
      </c>
      <c r="D36" s="194">
        <v>-3.2084090468673554E-2</v>
      </c>
    </row>
    <row r="37" spans="1:4" ht="21.75" customHeight="1" x14ac:dyDescent="0.2">
      <c r="A37" s="195" t="s">
        <v>721</v>
      </c>
      <c r="B37" s="195" t="s">
        <v>1149</v>
      </c>
      <c r="C37" s="194">
        <v>0.62457517097440496</v>
      </c>
      <c r="D37" s="194">
        <v>7.9983686889066909</v>
      </c>
    </row>
    <row r="38" spans="1:4" ht="21.75" customHeight="1" x14ac:dyDescent="0.2">
      <c r="A38" s="195" t="s">
        <v>722</v>
      </c>
      <c r="B38" s="195" t="s">
        <v>1150</v>
      </c>
      <c r="C38" s="194">
        <v>0.28012968596640198</v>
      </c>
      <c r="D38" s="194">
        <v>0.2743756673635297</v>
      </c>
    </row>
    <row r="39" spans="1:4" ht="21.75" customHeight="1" x14ac:dyDescent="0.2">
      <c r="A39" s="195" t="s">
        <v>723</v>
      </c>
      <c r="B39" s="195" t="s">
        <v>1151</v>
      </c>
      <c r="C39" s="194">
        <v>0.67455682300068309</v>
      </c>
      <c r="D39" s="194">
        <v>3.9857086167199811</v>
      </c>
    </row>
    <row r="40" spans="1:4" ht="21.75" customHeight="1" x14ac:dyDescent="0.2">
      <c r="A40" s="195" t="s">
        <v>724</v>
      </c>
      <c r="B40" s="195" t="s">
        <v>1152</v>
      </c>
      <c r="C40" s="194">
        <v>0.45131306682648303</v>
      </c>
      <c r="D40" s="194">
        <v>0.91997423168287162</v>
      </c>
    </row>
    <row r="41" spans="1:4" ht="21.75" customHeight="1" x14ac:dyDescent="0.2">
      <c r="A41" s="195" t="s">
        <v>725</v>
      </c>
      <c r="B41" s="195" t="s">
        <v>1152</v>
      </c>
      <c r="C41" s="194">
        <v>0.41819943855934211</v>
      </c>
      <c r="D41" s="194">
        <v>0.70428549179330546</v>
      </c>
    </row>
    <row r="42" spans="1:4" ht="21.75" customHeight="1" x14ac:dyDescent="0.2">
      <c r="A42" s="195" t="s">
        <v>726</v>
      </c>
      <c r="B42" s="195" t="s">
        <v>1152</v>
      </c>
      <c r="C42" s="194">
        <v>0.45409662069412465</v>
      </c>
      <c r="D42" s="194">
        <v>0.93553140618042474</v>
      </c>
    </row>
    <row r="43" spans="1:4" ht="21.75" customHeight="1" x14ac:dyDescent="0.2">
      <c r="A43" s="195" t="s">
        <v>727</v>
      </c>
      <c r="B43" s="195" t="s">
        <v>1152</v>
      </c>
      <c r="C43" s="194">
        <v>0.45409662069412465</v>
      </c>
      <c r="D43" s="194">
        <v>0.93553140618042474</v>
      </c>
    </row>
    <row r="44" spans="1:4" ht="21.75" customHeight="1" x14ac:dyDescent="0.2">
      <c r="A44" s="195" t="s">
        <v>728</v>
      </c>
      <c r="B44" s="195" t="s">
        <v>1152</v>
      </c>
      <c r="C44" s="194">
        <v>0.4539753113668053</v>
      </c>
      <c r="D44" s="194">
        <v>0.93486140159786668</v>
      </c>
    </row>
    <row r="45" spans="1:4" ht="21.75" customHeight="1" x14ac:dyDescent="0.2">
      <c r="A45" s="195" t="s">
        <v>729</v>
      </c>
      <c r="B45" s="195" t="s">
        <v>1153</v>
      </c>
      <c r="C45" s="194">
        <v>0.37449570514899999</v>
      </c>
      <c r="D45" s="194">
        <v>13.667478615971005</v>
      </c>
    </row>
    <row r="46" spans="1:4" ht="21.75" customHeight="1" x14ac:dyDescent="0.2">
      <c r="A46" s="195" t="s">
        <v>730</v>
      </c>
      <c r="B46" s="195" t="s">
        <v>1449</v>
      </c>
      <c r="C46" s="194">
        <v>0.12907685491129478</v>
      </c>
      <c r="D46" s="194">
        <v>4.4677317156103333</v>
      </c>
    </row>
    <row r="47" spans="1:4" ht="21.75" customHeight="1" x14ac:dyDescent="0.2">
      <c r="A47" s="195" t="s">
        <v>731</v>
      </c>
      <c r="B47" s="195" t="s">
        <v>1444</v>
      </c>
      <c r="C47" s="194">
        <v>0.42436725821529697</v>
      </c>
      <c r="D47" s="194">
        <v>4.9939182056832343E-3</v>
      </c>
    </row>
    <row r="48" spans="1:4" ht="21.75" customHeight="1" x14ac:dyDescent="0.2">
      <c r="A48" s="195" t="s">
        <v>732</v>
      </c>
      <c r="B48" s="195" t="s">
        <v>1154</v>
      </c>
      <c r="C48" s="194">
        <v>1.2911804442396833</v>
      </c>
      <c r="D48" s="194">
        <v>11.538083559803262</v>
      </c>
    </row>
    <row r="49" spans="1:4" ht="21.75" customHeight="1" x14ac:dyDescent="0.2">
      <c r="A49" s="195" t="s">
        <v>733</v>
      </c>
      <c r="B49" s="195" t="s">
        <v>1155</v>
      </c>
      <c r="C49" s="194">
        <v>4.7958270102004498E-3</v>
      </c>
      <c r="D49" s="194">
        <v>0</v>
      </c>
    </row>
    <row r="50" spans="1:4" ht="21.75" customHeight="1" x14ac:dyDescent="0.2">
      <c r="A50" s="195" t="s">
        <v>734</v>
      </c>
      <c r="B50" s="195" t="s">
        <v>1443</v>
      </c>
      <c r="C50" s="194">
        <v>0</v>
      </c>
      <c r="D50" s="194">
        <v>0</v>
      </c>
    </row>
    <row r="51" spans="1:4" ht="21.75" customHeight="1" x14ac:dyDescent="0.2">
      <c r="A51" s="195" t="s">
        <v>735</v>
      </c>
      <c r="B51" s="195" t="s">
        <v>1156</v>
      </c>
      <c r="C51" s="194">
        <v>2.8260017606452598E-2</v>
      </c>
      <c r="D51" s="194">
        <v>0.55232647675129054</v>
      </c>
    </row>
    <row r="52" spans="1:4" ht="21.75" customHeight="1" x14ac:dyDescent="0.2">
      <c r="A52" s="195" t="s">
        <v>736</v>
      </c>
      <c r="B52" s="195" t="s">
        <v>1156</v>
      </c>
      <c r="C52" s="194">
        <v>2.8916933735244399E-2</v>
      </c>
      <c r="D52" s="194">
        <v>0.62368128780254539</v>
      </c>
    </row>
    <row r="53" spans="1:4" ht="21.75" customHeight="1" x14ac:dyDescent="0.2">
      <c r="A53" s="195" t="s">
        <v>737</v>
      </c>
      <c r="B53" s="195" t="s">
        <v>1157</v>
      </c>
      <c r="C53" s="194">
        <v>0.87698296531727893</v>
      </c>
      <c r="D53" s="194">
        <v>0.33133850306022605</v>
      </c>
    </row>
    <row r="54" spans="1:4" ht="21.75" customHeight="1" x14ac:dyDescent="0.2">
      <c r="A54" s="195" t="s">
        <v>738</v>
      </c>
      <c r="B54" s="195" t="s">
        <v>1157</v>
      </c>
      <c r="C54" s="194">
        <v>0.88220674098528107</v>
      </c>
      <c r="D54" s="194">
        <v>5.6622166630719795</v>
      </c>
    </row>
    <row r="55" spans="1:4" ht="21.75" customHeight="1" x14ac:dyDescent="0.2">
      <c r="A55" s="195" t="s">
        <v>739</v>
      </c>
      <c r="B55" s="195" t="s">
        <v>1158</v>
      </c>
      <c r="C55" s="194">
        <v>0.28407555967645304</v>
      </c>
      <c r="D55" s="194">
        <v>1.5996215757626877</v>
      </c>
    </row>
    <row r="56" spans="1:4" ht="21.75" customHeight="1" x14ac:dyDescent="0.2">
      <c r="A56" s="195" t="s">
        <v>740</v>
      </c>
      <c r="B56" s="195" t="s">
        <v>1158</v>
      </c>
      <c r="C56" s="194">
        <v>0</v>
      </c>
      <c r="D56" s="194">
        <v>1.9176029467573315</v>
      </c>
    </row>
    <row r="57" spans="1:4" ht="21.75" customHeight="1" x14ac:dyDescent="0.2">
      <c r="A57" s="195" t="s">
        <v>741</v>
      </c>
      <c r="B57" s="195" t="s">
        <v>1442</v>
      </c>
      <c r="C57" s="194">
        <v>0</v>
      </c>
      <c r="D57" s="194">
        <v>0</v>
      </c>
    </row>
    <row r="58" spans="1:4" ht="21.75" customHeight="1" x14ac:dyDescent="0.2">
      <c r="A58" s="195" t="s">
        <v>742</v>
      </c>
      <c r="B58" s="195" t="s">
        <v>1159</v>
      </c>
      <c r="C58" s="194">
        <v>1.481534968077429</v>
      </c>
      <c r="D58" s="194">
        <v>5.2074412028900614</v>
      </c>
    </row>
    <row r="59" spans="1:4" ht="21.75" customHeight="1" x14ac:dyDescent="0.2">
      <c r="A59" s="195" t="s">
        <v>743</v>
      </c>
      <c r="B59" s="195" t="s">
        <v>1160</v>
      </c>
      <c r="C59" s="194">
        <v>0.1391059421146485</v>
      </c>
      <c r="D59" s="194">
        <v>20.975229155951208</v>
      </c>
    </row>
    <row r="60" spans="1:4" ht="21.75" customHeight="1" x14ac:dyDescent="0.2">
      <c r="A60" s="195" t="s">
        <v>744</v>
      </c>
      <c r="B60" s="195" t="s">
        <v>1161</v>
      </c>
      <c r="C60" s="194">
        <v>3.5918263272872961</v>
      </c>
      <c r="D60" s="194">
        <v>0.1998298889258816</v>
      </c>
    </row>
    <row r="61" spans="1:4" ht="21.75" customHeight="1" x14ac:dyDescent="0.2">
      <c r="A61" s="195" t="s">
        <v>745</v>
      </c>
      <c r="B61" s="195" t="s">
        <v>1162</v>
      </c>
      <c r="C61" s="194">
        <v>0.84032049688729327</v>
      </c>
      <c r="D61" s="194">
        <v>0.60680294629990517</v>
      </c>
    </row>
    <row r="62" spans="1:4" ht="21.75" customHeight="1" x14ac:dyDescent="0.2">
      <c r="A62" s="195" t="s">
        <v>746</v>
      </c>
      <c r="B62" s="195" t="s">
        <v>1162</v>
      </c>
      <c r="C62" s="194">
        <v>0.84032049688729327</v>
      </c>
      <c r="D62" s="194">
        <v>0.60680294629990517</v>
      </c>
    </row>
    <row r="63" spans="1:4" ht="21.75" customHeight="1" x14ac:dyDescent="0.2">
      <c r="A63" s="195" t="s">
        <v>747</v>
      </c>
      <c r="B63" s="195" t="s">
        <v>1162</v>
      </c>
      <c r="C63" s="194">
        <v>0.84032049688729327</v>
      </c>
      <c r="D63" s="194">
        <v>0.60680294629990517</v>
      </c>
    </row>
    <row r="64" spans="1:4" ht="21.75" customHeight="1" x14ac:dyDescent="0.2">
      <c r="A64" s="195" t="s">
        <v>748</v>
      </c>
      <c r="B64" s="195" t="s">
        <v>1163</v>
      </c>
      <c r="C64" s="194">
        <v>9.6747932786180504E-2</v>
      </c>
      <c r="D64" s="194">
        <v>2.2565685465589291E-2</v>
      </c>
    </row>
    <row r="65" spans="1:4" ht="21.75" customHeight="1" x14ac:dyDescent="0.2">
      <c r="A65" s="195" t="s">
        <v>749</v>
      </c>
      <c r="B65" s="195" t="s">
        <v>1163</v>
      </c>
      <c r="C65" s="194">
        <v>6.5501163514171123E-2</v>
      </c>
      <c r="D65" s="194">
        <v>2.82963482682623E-3</v>
      </c>
    </row>
    <row r="66" spans="1:4" ht="21.75" customHeight="1" x14ac:dyDescent="0.2">
      <c r="A66" s="195" t="s">
        <v>750</v>
      </c>
      <c r="B66" s="195" t="s">
        <v>1164</v>
      </c>
      <c r="C66" s="194">
        <v>8.4884891198967471E-2</v>
      </c>
      <c r="D66" s="194">
        <v>2.3577929461642375E-2</v>
      </c>
    </row>
    <row r="67" spans="1:4" ht="21.75" customHeight="1" x14ac:dyDescent="0.2">
      <c r="A67" s="195" t="s">
        <v>751</v>
      </c>
      <c r="B67" s="195" t="s">
        <v>1164</v>
      </c>
      <c r="C67" s="194">
        <v>8.4884891198967471E-2</v>
      </c>
      <c r="D67" s="194">
        <v>2.3577929461642375E-2</v>
      </c>
    </row>
    <row r="68" spans="1:4" ht="21.75" customHeight="1" x14ac:dyDescent="0.2">
      <c r="A68" s="195" t="s">
        <v>752</v>
      </c>
      <c r="B68" s="195" t="s">
        <v>1165</v>
      </c>
      <c r="C68" s="194">
        <v>1.4391861972864439</v>
      </c>
      <c r="D68" s="194">
        <v>0.27306242403207648</v>
      </c>
    </row>
    <row r="69" spans="1:4" ht="21.75" customHeight="1" x14ac:dyDescent="0.2">
      <c r="A69" s="195" t="s">
        <v>753</v>
      </c>
      <c r="B69" s="195" t="s">
        <v>1441</v>
      </c>
      <c r="C69" s="194">
        <v>4.1822663797949513</v>
      </c>
      <c r="D69" s="194">
        <v>1.5899878324232057</v>
      </c>
    </row>
    <row r="70" spans="1:4" ht="21.75" customHeight="1" x14ac:dyDescent="0.2">
      <c r="A70" s="195" t="s">
        <v>754</v>
      </c>
      <c r="B70" s="195" t="s">
        <v>1166</v>
      </c>
      <c r="C70" s="194">
        <v>1.2018621479366594</v>
      </c>
      <c r="D70" s="194">
        <v>3.2374344394441685</v>
      </c>
    </row>
    <row r="71" spans="1:4" ht="21.75" customHeight="1" x14ac:dyDescent="0.2">
      <c r="A71" s="195" t="s">
        <v>755</v>
      </c>
      <c r="B71" s="195" t="s">
        <v>1166</v>
      </c>
      <c r="C71" s="194">
        <v>1.595417152955062</v>
      </c>
      <c r="D71" s="194">
        <v>-1.3843391813843642E-3</v>
      </c>
    </row>
    <row r="72" spans="1:4" ht="21.75" customHeight="1" x14ac:dyDescent="0.2">
      <c r="A72" s="195" t="s">
        <v>756</v>
      </c>
      <c r="B72" s="195" t="s">
        <v>1167</v>
      </c>
      <c r="C72" s="194">
        <v>5.0339537440443401E-2</v>
      </c>
      <c r="D72" s="194">
        <v>2.1818881612932559</v>
      </c>
    </row>
    <row r="73" spans="1:4" ht="21.75" customHeight="1" x14ac:dyDescent="0.2">
      <c r="A73" s="195" t="s">
        <v>757</v>
      </c>
      <c r="B73" s="195" t="s">
        <v>1168</v>
      </c>
      <c r="C73" s="194">
        <v>2.1150332408602699</v>
      </c>
      <c r="D73" s="194">
        <v>6.9411937802856061</v>
      </c>
    </row>
    <row r="74" spans="1:4" ht="21.75" customHeight="1" x14ac:dyDescent="0.2">
      <c r="A74" s="195" t="s">
        <v>758</v>
      </c>
      <c r="B74" s="195" t="s">
        <v>1169</v>
      </c>
      <c r="C74" s="194">
        <v>1.33742956038784E-2</v>
      </c>
      <c r="D74" s="194">
        <v>0.74494361851150226</v>
      </c>
    </row>
    <row r="75" spans="1:4" ht="21.75" customHeight="1" x14ac:dyDescent="0.2">
      <c r="A75" s="195" t="s">
        <v>759</v>
      </c>
      <c r="B75" s="195" t="s">
        <v>1170</v>
      </c>
      <c r="C75" s="194">
        <v>3.5683187010221098</v>
      </c>
      <c r="D75" s="194">
        <v>7.0875339173500027</v>
      </c>
    </row>
    <row r="76" spans="1:4" ht="21.75" customHeight="1" x14ac:dyDescent="0.2">
      <c r="A76" s="195" t="s">
        <v>760</v>
      </c>
      <c r="B76" s="195" t="s">
        <v>1171</v>
      </c>
      <c r="C76" s="194">
        <v>0.93996424751657104</v>
      </c>
      <c r="D76" s="194">
        <v>2.920964039680201</v>
      </c>
    </row>
    <row r="77" spans="1:4" ht="21.75" customHeight="1" x14ac:dyDescent="0.2">
      <c r="A77" s="195" t="s">
        <v>761</v>
      </c>
      <c r="B77" s="195" t="s">
        <v>1172</v>
      </c>
      <c r="C77" s="194">
        <v>0.54390484540000827</v>
      </c>
      <c r="D77" s="194">
        <v>-1.8540232242612031E-3</v>
      </c>
    </row>
    <row r="78" spans="1:4" ht="21.75" customHeight="1" x14ac:dyDescent="0.2">
      <c r="A78" s="195" t="s">
        <v>762</v>
      </c>
      <c r="B78" s="195" t="s">
        <v>1173</v>
      </c>
      <c r="C78" s="194">
        <v>0</v>
      </c>
      <c r="D78" s="194">
        <v>6.565340956900001E-2</v>
      </c>
    </row>
    <row r="79" spans="1:4" ht="21.75" customHeight="1" x14ac:dyDescent="0.2">
      <c r="A79" s="195" t="s">
        <v>763</v>
      </c>
      <c r="B79" s="195" t="s">
        <v>1174</v>
      </c>
      <c r="C79" s="194">
        <v>1.8013536398014698</v>
      </c>
      <c r="D79" s="194">
        <v>2.6244696347512728</v>
      </c>
    </row>
    <row r="80" spans="1:4" ht="21.75" customHeight="1" x14ac:dyDescent="0.2">
      <c r="A80" s="195" t="s">
        <v>764</v>
      </c>
      <c r="B80" s="195" t="s">
        <v>1175</v>
      </c>
      <c r="C80" s="194">
        <v>1.868000668971193</v>
      </c>
      <c r="D80" s="194">
        <v>14.749419400755018</v>
      </c>
    </row>
    <row r="81" spans="1:4" ht="21.75" customHeight="1" x14ac:dyDescent="0.2">
      <c r="A81" s="195" t="s">
        <v>765</v>
      </c>
      <c r="B81" s="195" t="s">
        <v>1175</v>
      </c>
      <c r="C81" s="194">
        <v>0.42246312484028403</v>
      </c>
      <c r="D81" s="194">
        <v>7.2811615652750321</v>
      </c>
    </row>
    <row r="82" spans="1:4" ht="21.75" customHeight="1" x14ac:dyDescent="0.2">
      <c r="A82" s="195" t="s">
        <v>766</v>
      </c>
      <c r="B82" s="195" t="s">
        <v>1176</v>
      </c>
      <c r="C82" s="194">
        <v>1.7933623061350641</v>
      </c>
      <c r="D82" s="194">
        <v>5.838009633623936</v>
      </c>
    </row>
    <row r="83" spans="1:4" ht="21.75" customHeight="1" x14ac:dyDescent="0.2">
      <c r="A83" s="195" t="s">
        <v>767</v>
      </c>
      <c r="B83" s="195" t="s">
        <v>1177</v>
      </c>
      <c r="C83" s="194">
        <v>1.7095926654447791</v>
      </c>
      <c r="D83" s="194">
        <v>7.1319419215556543</v>
      </c>
    </row>
    <row r="84" spans="1:4" ht="21.75" customHeight="1" x14ac:dyDescent="0.2">
      <c r="A84" s="195" t="s">
        <v>768</v>
      </c>
      <c r="B84" s="195" t="s">
        <v>1178</v>
      </c>
      <c r="C84" s="194">
        <v>3.3665314920933396</v>
      </c>
      <c r="D84" s="194">
        <v>9.2831907510259875</v>
      </c>
    </row>
    <row r="85" spans="1:4" ht="21.75" customHeight="1" x14ac:dyDescent="0.2">
      <c r="A85" s="195" t="s">
        <v>769</v>
      </c>
      <c r="B85" s="195" t="s">
        <v>1179</v>
      </c>
      <c r="C85" s="194">
        <v>1.704859648645213</v>
      </c>
      <c r="D85" s="194">
        <v>3.704783003935761</v>
      </c>
    </row>
    <row r="86" spans="1:4" ht="21.75" customHeight="1" x14ac:dyDescent="0.2">
      <c r="A86" s="195" t="s">
        <v>770</v>
      </c>
      <c r="B86" s="195" t="s">
        <v>1179</v>
      </c>
      <c r="C86" s="194">
        <v>0.174178148441475</v>
      </c>
      <c r="D86" s="194">
        <v>0.29430461633066124</v>
      </c>
    </row>
    <row r="87" spans="1:4" ht="21.75" customHeight="1" x14ac:dyDescent="0.2">
      <c r="A87" s="195" t="s">
        <v>771</v>
      </c>
      <c r="B87" s="195" t="s">
        <v>1180</v>
      </c>
      <c r="C87" s="194">
        <v>2.3615462135823799</v>
      </c>
      <c r="D87" s="194">
        <v>9.7231344930022345</v>
      </c>
    </row>
    <row r="88" spans="1:4" ht="21.75" customHeight="1" x14ac:dyDescent="0.2">
      <c r="A88" s="195" t="s">
        <v>772</v>
      </c>
      <c r="B88" s="195" t="s">
        <v>1181</v>
      </c>
      <c r="C88" s="194">
        <v>0.380244143854301</v>
      </c>
      <c r="D88" s="194">
        <v>5.0066887492296823</v>
      </c>
    </row>
    <row r="89" spans="1:4" ht="21.75" customHeight="1" x14ac:dyDescent="0.2">
      <c r="A89" s="195" t="s">
        <v>773</v>
      </c>
      <c r="B89" s="195" t="s">
        <v>1182</v>
      </c>
      <c r="C89" s="194">
        <v>2.931309779706913</v>
      </c>
      <c r="D89" s="194">
        <v>0.5539795388154265</v>
      </c>
    </row>
    <row r="90" spans="1:4" ht="21.75" customHeight="1" x14ac:dyDescent="0.2">
      <c r="A90" s="195" t="s">
        <v>774</v>
      </c>
      <c r="B90" s="195" t="s">
        <v>1183</v>
      </c>
      <c r="C90" s="194">
        <v>2.29872084568466</v>
      </c>
      <c r="D90" s="194">
        <v>24.016332421280421</v>
      </c>
    </row>
    <row r="91" spans="1:4" ht="21.75" customHeight="1" x14ac:dyDescent="0.2">
      <c r="A91" s="195" t="s">
        <v>775</v>
      </c>
      <c r="B91" s="195" t="s">
        <v>1184</v>
      </c>
      <c r="C91" s="194">
        <v>7.5245382484271192E-2</v>
      </c>
      <c r="D91" s="194">
        <v>-1.6363927558975547E-2</v>
      </c>
    </row>
    <row r="92" spans="1:4" ht="21.75" customHeight="1" x14ac:dyDescent="0.2">
      <c r="A92" s="195" t="s">
        <v>776</v>
      </c>
      <c r="B92" s="195" t="s">
        <v>1185</v>
      </c>
      <c r="C92" s="194">
        <v>0.90181046163843803</v>
      </c>
      <c r="D92" s="194">
        <v>4.9289722566506384</v>
      </c>
    </row>
    <row r="93" spans="1:4" ht="21.75" customHeight="1" x14ac:dyDescent="0.2">
      <c r="A93" s="195" t="s">
        <v>777</v>
      </c>
      <c r="B93" s="195" t="s">
        <v>1186</v>
      </c>
      <c r="C93" s="194">
        <v>6.7020059525047699</v>
      </c>
      <c r="D93" s="194">
        <v>1.7539704828365004</v>
      </c>
    </row>
    <row r="94" spans="1:4" ht="21.75" customHeight="1" x14ac:dyDescent="0.2">
      <c r="A94" s="195" t="s">
        <v>778</v>
      </c>
      <c r="B94" s="195" t="s">
        <v>1187</v>
      </c>
      <c r="C94" s="194">
        <v>0.45021254779987452</v>
      </c>
      <c r="D94" s="194">
        <v>-3.2079946441435303E-2</v>
      </c>
    </row>
    <row r="95" spans="1:4" ht="21.75" customHeight="1" x14ac:dyDescent="0.2">
      <c r="A95" s="195" t="s">
        <v>779</v>
      </c>
      <c r="B95" s="195" t="s">
        <v>1187</v>
      </c>
      <c r="C95" s="194">
        <v>0.45021254779987452</v>
      </c>
      <c r="D95" s="194">
        <v>-3.2079946441435303E-2</v>
      </c>
    </row>
    <row r="96" spans="1:4" ht="21.75" customHeight="1" x14ac:dyDescent="0.2">
      <c r="A96" s="195" t="s">
        <v>780</v>
      </c>
      <c r="B96" s="195" t="s">
        <v>1188</v>
      </c>
      <c r="C96" s="194">
        <v>3.04797849049565</v>
      </c>
      <c r="D96" s="194">
        <v>14.260249040725858</v>
      </c>
    </row>
    <row r="97" spans="1:4" ht="21.75" customHeight="1" x14ac:dyDescent="0.2">
      <c r="A97" s="195" t="s">
        <v>781</v>
      </c>
      <c r="B97" s="195" t="s">
        <v>1189</v>
      </c>
      <c r="C97" s="194">
        <v>1.0905143190223499E-2</v>
      </c>
      <c r="D97" s="194">
        <v>0.74169858761563756</v>
      </c>
    </row>
    <row r="98" spans="1:4" ht="21.75" customHeight="1" x14ac:dyDescent="0.2">
      <c r="A98" s="195" t="s">
        <v>782</v>
      </c>
      <c r="B98" s="195" t="s">
        <v>1189</v>
      </c>
      <c r="C98" s="194">
        <v>1.0904591884993001E-2</v>
      </c>
      <c r="D98" s="194">
        <v>0.74187400137558224</v>
      </c>
    </row>
    <row r="99" spans="1:4" ht="21.75" customHeight="1" x14ac:dyDescent="0.2">
      <c r="A99" s="195" t="s">
        <v>783</v>
      </c>
      <c r="B99" s="195" t="s">
        <v>1190</v>
      </c>
      <c r="C99" s="194">
        <v>1.1471875075444009</v>
      </c>
      <c r="D99" s="194">
        <v>19.227844989411221</v>
      </c>
    </row>
    <row r="100" spans="1:4" ht="21.75" customHeight="1" x14ac:dyDescent="0.2">
      <c r="A100" s="195" t="s">
        <v>784</v>
      </c>
      <c r="B100" s="195" t="s">
        <v>1191</v>
      </c>
      <c r="C100" s="194">
        <v>1.5876960277649259</v>
      </c>
      <c r="D100" s="194">
        <v>3.2896242310588351</v>
      </c>
    </row>
    <row r="101" spans="1:4" ht="21.75" customHeight="1" x14ac:dyDescent="0.2">
      <c r="A101" s="195" t="s">
        <v>785</v>
      </c>
      <c r="B101" s="195" t="s">
        <v>1192</v>
      </c>
      <c r="C101" s="194">
        <v>1.5569023479437794</v>
      </c>
      <c r="D101" s="194">
        <v>-0.11701750565049052</v>
      </c>
    </row>
    <row r="102" spans="1:4" ht="21.75" customHeight="1" x14ac:dyDescent="0.2">
      <c r="A102" s="195" t="s">
        <v>786</v>
      </c>
      <c r="B102" s="195" t="s">
        <v>1192</v>
      </c>
      <c r="C102" s="194">
        <v>1.5578543987684041</v>
      </c>
      <c r="D102" s="194">
        <v>-0.11701763406030707</v>
      </c>
    </row>
    <row r="103" spans="1:4" ht="21.75" customHeight="1" x14ac:dyDescent="0.2">
      <c r="A103" s="195" t="s">
        <v>787</v>
      </c>
      <c r="B103" s="195" t="s">
        <v>1193</v>
      </c>
      <c r="C103" s="194">
        <v>1.36850744048463</v>
      </c>
      <c r="D103" s="194">
        <v>0.45512450883328759</v>
      </c>
    </row>
    <row r="104" spans="1:4" ht="21.75" customHeight="1" x14ac:dyDescent="0.2">
      <c r="A104" s="195" t="s">
        <v>788</v>
      </c>
      <c r="B104" s="195" t="s">
        <v>1193</v>
      </c>
      <c r="C104" s="194">
        <v>2.8393199988188123</v>
      </c>
      <c r="D104" s="194">
        <v>0</v>
      </c>
    </row>
    <row r="105" spans="1:4" ht="21.75" customHeight="1" x14ac:dyDescent="0.2">
      <c r="A105" s="195" t="s">
        <v>789</v>
      </c>
      <c r="B105" s="195" t="s">
        <v>1193</v>
      </c>
      <c r="C105" s="194">
        <v>3.0404227249232201</v>
      </c>
      <c r="D105" s="194">
        <v>0</v>
      </c>
    </row>
    <row r="106" spans="1:4" ht="21.75" customHeight="1" x14ac:dyDescent="0.2">
      <c r="A106" s="195" t="s">
        <v>790</v>
      </c>
      <c r="B106" s="195" t="s">
        <v>1193</v>
      </c>
      <c r="C106" s="194">
        <v>2.0891255022412234</v>
      </c>
      <c r="D106" s="194">
        <v>0.55522828292442616</v>
      </c>
    </row>
    <row r="107" spans="1:4" ht="21.75" customHeight="1" x14ac:dyDescent="0.2">
      <c r="A107" s="195" t="s">
        <v>791</v>
      </c>
      <c r="B107" s="195" t="s">
        <v>1194</v>
      </c>
      <c r="C107" s="194">
        <v>0.32990556544155403</v>
      </c>
      <c r="D107" s="194">
        <v>1.0104096237793341</v>
      </c>
    </row>
    <row r="108" spans="1:4" ht="21.75" customHeight="1" x14ac:dyDescent="0.2">
      <c r="A108" s="195" t="s">
        <v>792</v>
      </c>
      <c r="B108" s="195" t="s">
        <v>1440</v>
      </c>
      <c r="C108" s="194">
        <v>0</v>
      </c>
      <c r="D108" s="194">
        <v>0</v>
      </c>
    </row>
    <row r="109" spans="1:4" ht="21.75" customHeight="1" x14ac:dyDescent="0.2">
      <c r="A109" s="195" t="s">
        <v>793</v>
      </c>
      <c r="B109" s="195" t="s">
        <v>1450</v>
      </c>
      <c r="C109" s="194">
        <v>0</v>
      </c>
      <c r="D109" s="194">
        <v>0</v>
      </c>
    </row>
    <row r="110" spans="1:4" ht="21.75" customHeight="1" x14ac:dyDescent="0.2">
      <c r="A110" s="195" t="s">
        <v>794</v>
      </c>
      <c r="B110" s="195" t="s">
        <v>1450</v>
      </c>
      <c r="C110" s="194">
        <v>0</v>
      </c>
      <c r="D110" s="194">
        <v>0</v>
      </c>
    </row>
    <row r="111" spans="1:4" ht="21.75" customHeight="1" x14ac:dyDescent="0.2">
      <c r="A111" s="195" t="s">
        <v>795</v>
      </c>
      <c r="B111" s="195" t="s">
        <v>1451</v>
      </c>
      <c r="C111" s="194">
        <v>0</v>
      </c>
      <c r="D111" s="194">
        <v>0</v>
      </c>
    </row>
    <row r="112" spans="1:4" ht="21.75" customHeight="1" x14ac:dyDescent="0.2">
      <c r="A112" s="195" t="s">
        <v>796</v>
      </c>
      <c r="B112" s="195" t="s">
        <v>1195</v>
      </c>
      <c r="C112" s="194">
        <v>0.53617059416658253</v>
      </c>
      <c r="D112" s="194">
        <v>4.8548719495130896</v>
      </c>
    </row>
    <row r="113" spans="1:4" ht="21.75" customHeight="1" x14ac:dyDescent="0.2">
      <c r="A113" s="195" t="s">
        <v>797</v>
      </c>
      <c r="B113" s="195" t="s">
        <v>1195</v>
      </c>
      <c r="C113" s="194">
        <v>0.53617059416658253</v>
      </c>
      <c r="D113" s="194">
        <v>4.8548719495130896</v>
      </c>
    </row>
    <row r="114" spans="1:4" ht="21.75" customHeight="1" x14ac:dyDescent="0.2">
      <c r="A114" s="195" t="s">
        <v>798</v>
      </c>
      <c r="B114" s="195" t="s">
        <v>1196</v>
      </c>
      <c r="C114" s="194">
        <v>0.24461816568902872</v>
      </c>
      <c r="D114" s="194">
        <v>9.9537777657393889</v>
      </c>
    </row>
    <row r="115" spans="1:4" ht="21.75" customHeight="1" x14ac:dyDescent="0.2">
      <c r="A115" s="195" t="s">
        <v>799</v>
      </c>
      <c r="B115" s="195" t="s">
        <v>1197</v>
      </c>
      <c r="C115" s="194">
        <v>2.8765831521293102</v>
      </c>
      <c r="D115" s="194">
        <v>31.626632756184581</v>
      </c>
    </row>
    <row r="116" spans="1:4" ht="21.75" customHeight="1" x14ac:dyDescent="0.2">
      <c r="A116" s="195" t="s">
        <v>800</v>
      </c>
      <c r="B116" s="195" t="s">
        <v>1197</v>
      </c>
      <c r="C116" s="194">
        <v>6.3888623988093293E-2</v>
      </c>
      <c r="D116" s="194">
        <v>0.68876947839454006</v>
      </c>
    </row>
    <row r="117" spans="1:4" ht="21.75" customHeight="1" x14ac:dyDescent="0.2">
      <c r="A117" s="195" t="s">
        <v>801</v>
      </c>
      <c r="B117" s="195" t="s">
        <v>1198</v>
      </c>
      <c r="C117" s="194">
        <v>0.38362307126351802</v>
      </c>
      <c r="D117" s="194">
        <v>3.723139020288424</v>
      </c>
    </row>
    <row r="118" spans="1:4" ht="21.75" customHeight="1" x14ac:dyDescent="0.2">
      <c r="A118" s="195" t="s">
        <v>802</v>
      </c>
      <c r="B118" s="195" t="s">
        <v>1199</v>
      </c>
      <c r="C118" s="194">
        <v>0.42249719123437601</v>
      </c>
      <c r="D118" s="194">
        <v>13.51963327530912</v>
      </c>
    </row>
    <row r="119" spans="1:4" ht="21.75" customHeight="1" x14ac:dyDescent="0.2">
      <c r="A119" s="195" t="s">
        <v>803</v>
      </c>
      <c r="B119" s="195" t="s">
        <v>1200</v>
      </c>
      <c r="C119" s="194">
        <v>2.5322310855071901</v>
      </c>
      <c r="D119" s="194">
        <v>1.1547732367941923</v>
      </c>
    </row>
    <row r="120" spans="1:4" ht="21.75" customHeight="1" x14ac:dyDescent="0.2">
      <c r="A120" s="195" t="s">
        <v>804</v>
      </c>
      <c r="B120" s="195" t="s">
        <v>1201</v>
      </c>
      <c r="C120" s="194">
        <v>1.617626754869399</v>
      </c>
      <c r="D120" s="194">
        <v>6.2407453226083103</v>
      </c>
    </row>
    <row r="121" spans="1:4" ht="21.75" customHeight="1" x14ac:dyDescent="0.2">
      <c r="A121" s="195" t="s">
        <v>805</v>
      </c>
      <c r="B121" s="195" t="s">
        <v>1202</v>
      </c>
      <c r="C121" s="194">
        <v>6.8492881514661805E-2</v>
      </c>
      <c r="D121" s="194">
        <v>0.84287146648983391</v>
      </c>
    </row>
    <row r="122" spans="1:4" ht="21.75" customHeight="1" x14ac:dyDescent="0.2">
      <c r="A122" s="195" t="s">
        <v>806</v>
      </c>
      <c r="B122" s="195" t="s">
        <v>1203</v>
      </c>
      <c r="C122" s="194">
        <v>1.7852417131300484</v>
      </c>
      <c r="D122" s="194">
        <v>3.5713404125396337</v>
      </c>
    </row>
    <row r="123" spans="1:4" ht="21.75" customHeight="1" x14ac:dyDescent="0.2">
      <c r="A123" s="195" t="s">
        <v>807</v>
      </c>
      <c r="B123" s="195" t="s">
        <v>1203</v>
      </c>
      <c r="C123" s="194">
        <v>3.3040481802742385</v>
      </c>
      <c r="D123" s="194">
        <v>3.4011310432398454</v>
      </c>
    </row>
    <row r="124" spans="1:4" ht="21.75" customHeight="1" x14ac:dyDescent="0.2">
      <c r="A124" s="195" t="s">
        <v>808</v>
      </c>
      <c r="B124" s="195" t="s">
        <v>1204</v>
      </c>
      <c r="C124" s="194">
        <v>2.31518396342695</v>
      </c>
      <c r="D124" s="194">
        <v>3.3146014168840949</v>
      </c>
    </row>
    <row r="125" spans="1:4" ht="21.75" customHeight="1" x14ac:dyDescent="0.2">
      <c r="A125" s="195" t="s">
        <v>809</v>
      </c>
      <c r="B125" s="195" t="s">
        <v>1205</v>
      </c>
      <c r="C125" s="194">
        <v>0.66036176853839601</v>
      </c>
      <c r="D125" s="194">
        <v>3.4991044637131119</v>
      </c>
    </row>
    <row r="126" spans="1:4" ht="21.75" customHeight="1" x14ac:dyDescent="0.2">
      <c r="A126" s="195" t="s">
        <v>810</v>
      </c>
      <c r="B126" s="195" t="s">
        <v>1206</v>
      </c>
      <c r="C126" s="194">
        <v>-0.64858723758438785</v>
      </c>
      <c r="D126" s="194">
        <v>17.974732086150919</v>
      </c>
    </row>
    <row r="127" spans="1:4" ht="21.75" customHeight="1" x14ac:dyDescent="0.2">
      <c r="A127" s="195" t="s">
        <v>811</v>
      </c>
      <c r="B127" s="195" t="s">
        <v>1207</v>
      </c>
      <c r="C127" s="194">
        <v>1.186975853086194</v>
      </c>
      <c r="D127" s="194">
        <v>11.611924362886883</v>
      </c>
    </row>
    <row r="128" spans="1:4" ht="21.75" customHeight="1" x14ac:dyDescent="0.2">
      <c r="A128" s="195" t="s">
        <v>812</v>
      </c>
      <c r="B128" s="195" t="s">
        <v>1208</v>
      </c>
      <c r="C128" s="194">
        <v>0.87322487710847807</v>
      </c>
      <c r="D128" s="194">
        <v>8.229618221761168</v>
      </c>
    </row>
    <row r="129" spans="1:4" ht="21.75" customHeight="1" x14ac:dyDescent="0.2">
      <c r="A129" s="195" t="s">
        <v>813</v>
      </c>
      <c r="B129" s="195" t="s">
        <v>1209</v>
      </c>
      <c r="C129" s="194">
        <v>1.184887665260991</v>
      </c>
      <c r="D129" s="194">
        <v>10.815662719509604</v>
      </c>
    </row>
    <row r="130" spans="1:4" ht="21.75" customHeight="1" x14ac:dyDescent="0.2">
      <c r="A130" s="195" t="s">
        <v>814</v>
      </c>
      <c r="B130" s="195" t="s">
        <v>1209</v>
      </c>
      <c r="C130" s="194">
        <v>3.98116499944303E-2</v>
      </c>
      <c r="D130" s="194">
        <v>5.9117931553144594</v>
      </c>
    </row>
    <row r="131" spans="1:4" ht="21.75" customHeight="1" x14ac:dyDescent="0.2">
      <c r="A131" s="195" t="s">
        <v>815</v>
      </c>
      <c r="B131" s="195" t="s">
        <v>1210</v>
      </c>
      <c r="C131" s="194">
        <v>-0.6258207557754365</v>
      </c>
      <c r="D131" s="194">
        <v>18.412996729683229</v>
      </c>
    </row>
    <row r="132" spans="1:4" ht="21.75" customHeight="1" x14ac:dyDescent="0.2">
      <c r="A132" s="195" t="s">
        <v>816</v>
      </c>
      <c r="B132" s="195" t="s">
        <v>1211</v>
      </c>
      <c r="C132" s="194">
        <v>0</v>
      </c>
      <c r="D132" s="194">
        <v>0.36210780059394748</v>
      </c>
    </row>
    <row r="133" spans="1:4" ht="21.75" customHeight="1" x14ac:dyDescent="0.2">
      <c r="A133" s="195" t="s">
        <v>817</v>
      </c>
      <c r="B133" s="195" t="s">
        <v>1211</v>
      </c>
      <c r="C133" s="194">
        <v>0.296969973305585</v>
      </c>
      <c r="D133" s="194">
        <v>2.735841313142473E-3</v>
      </c>
    </row>
    <row r="134" spans="1:4" ht="21.75" customHeight="1" x14ac:dyDescent="0.2">
      <c r="A134" s="195" t="s">
        <v>818</v>
      </c>
      <c r="B134" s="195" t="s">
        <v>1211</v>
      </c>
      <c r="C134" s="194">
        <v>0.136983080742341</v>
      </c>
      <c r="D134" s="194">
        <v>1.612238877319927E-3</v>
      </c>
    </row>
    <row r="135" spans="1:4" ht="21.75" customHeight="1" x14ac:dyDescent="0.2">
      <c r="A135" s="195" t="s">
        <v>819</v>
      </c>
      <c r="B135" s="195" t="s">
        <v>1211</v>
      </c>
      <c r="C135" s="194">
        <v>0.27334142985684301</v>
      </c>
      <c r="D135" s="194">
        <v>3.224477754639854E-3</v>
      </c>
    </row>
    <row r="136" spans="1:4" ht="21.75" customHeight="1" x14ac:dyDescent="0.2">
      <c r="A136" s="195" t="s">
        <v>820</v>
      </c>
      <c r="B136" s="195" t="s">
        <v>1212</v>
      </c>
      <c r="C136" s="194">
        <v>1.6191278998603511</v>
      </c>
      <c r="D136" s="194">
        <v>6.5328364819349174</v>
      </c>
    </row>
    <row r="137" spans="1:4" ht="21.75" customHeight="1" x14ac:dyDescent="0.2">
      <c r="A137" s="195" t="s">
        <v>821</v>
      </c>
      <c r="B137" s="195" t="s">
        <v>1213</v>
      </c>
      <c r="C137" s="194">
        <v>1.7477358612089353</v>
      </c>
      <c r="D137" s="194">
        <v>8.7826581406640649</v>
      </c>
    </row>
    <row r="138" spans="1:4" ht="21.75" customHeight="1" x14ac:dyDescent="0.2">
      <c r="A138" s="195" t="s">
        <v>822</v>
      </c>
      <c r="B138" s="195" t="s">
        <v>1214</v>
      </c>
      <c r="C138" s="194">
        <v>0.114555285213281</v>
      </c>
      <c r="D138" s="194">
        <v>2.5350519239483704</v>
      </c>
    </row>
    <row r="139" spans="1:4" ht="21.75" customHeight="1" x14ac:dyDescent="0.2">
      <c r="A139" s="195" t="s">
        <v>823</v>
      </c>
      <c r="B139" s="195" t="s">
        <v>1214</v>
      </c>
      <c r="C139" s="194">
        <v>0.11305554331605</v>
      </c>
      <c r="D139" s="194">
        <v>2.7667440902700369</v>
      </c>
    </row>
    <row r="140" spans="1:4" ht="21.75" customHeight="1" x14ac:dyDescent="0.2">
      <c r="A140" s="195" t="s">
        <v>824</v>
      </c>
      <c r="B140" s="195" t="s">
        <v>1215</v>
      </c>
      <c r="C140" s="194">
        <v>0</v>
      </c>
      <c r="D140" s="194">
        <v>0</v>
      </c>
    </row>
    <row r="141" spans="1:4" ht="21.75" customHeight="1" x14ac:dyDescent="0.2">
      <c r="A141" s="195" t="s">
        <v>825</v>
      </c>
      <c r="B141" s="195" t="s">
        <v>1216</v>
      </c>
      <c r="C141" s="194">
        <v>1.808477067536856</v>
      </c>
      <c r="D141" s="194">
        <v>8.8152267946869678</v>
      </c>
    </row>
    <row r="142" spans="1:4" ht="21.75" customHeight="1" x14ac:dyDescent="0.2">
      <c r="A142" s="195" t="s">
        <v>826</v>
      </c>
      <c r="B142" s="195" t="s">
        <v>1216</v>
      </c>
      <c r="C142" s="194">
        <v>0.32294256682941203</v>
      </c>
      <c r="D142" s="194">
        <v>2.9059768388467817</v>
      </c>
    </row>
    <row r="143" spans="1:4" ht="21.75" customHeight="1" x14ac:dyDescent="0.2">
      <c r="A143" s="195" t="s">
        <v>827</v>
      </c>
      <c r="B143" s="195" t="s">
        <v>1452</v>
      </c>
      <c r="C143" s="194">
        <v>0</v>
      </c>
      <c r="D143" s="194">
        <v>0</v>
      </c>
    </row>
    <row r="144" spans="1:4" ht="21.75" customHeight="1" x14ac:dyDescent="0.2">
      <c r="A144" s="195" t="s">
        <v>828</v>
      </c>
      <c r="B144" s="195" t="s">
        <v>1217</v>
      </c>
      <c r="C144" s="194">
        <v>0.94078950544501905</v>
      </c>
      <c r="D144" s="194">
        <v>28.535336709367424</v>
      </c>
    </row>
    <row r="145" spans="1:4" ht="21.75" customHeight="1" x14ac:dyDescent="0.2">
      <c r="A145" s="195" t="s">
        <v>829</v>
      </c>
      <c r="B145" s="195" t="s">
        <v>1218</v>
      </c>
      <c r="C145" s="194">
        <v>0.44675896377857</v>
      </c>
      <c r="D145" s="194">
        <v>17.131763627950761</v>
      </c>
    </row>
    <row r="146" spans="1:4" ht="21.75" customHeight="1" x14ac:dyDescent="0.2">
      <c r="A146" s="195" t="s">
        <v>830</v>
      </c>
      <c r="B146" s="195" t="s">
        <v>1218</v>
      </c>
      <c r="C146" s="194">
        <v>0</v>
      </c>
      <c r="D146" s="194">
        <v>1.3650547955897525</v>
      </c>
    </row>
    <row r="147" spans="1:4" ht="21.75" customHeight="1" x14ac:dyDescent="0.2">
      <c r="A147" s="195" t="s">
        <v>831</v>
      </c>
      <c r="B147" s="195" t="s">
        <v>1219</v>
      </c>
      <c r="C147" s="194">
        <v>1.5560844986937845</v>
      </c>
      <c r="D147" s="194">
        <v>-1.3116469528430263E-2</v>
      </c>
    </row>
    <row r="148" spans="1:4" ht="21.75" customHeight="1" x14ac:dyDescent="0.2">
      <c r="A148" s="195" t="s">
        <v>832</v>
      </c>
      <c r="B148" s="195" t="s">
        <v>1219</v>
      </c>
      <c r="C148" s="194">
        <v>1.5560844986937845</v>
      </c>
      <c r="D148" s="194">
        <v>8.7741532157362689E-2</v>
      </c>
    </row>
    <row r="149" spans="1:4" ht="21.75" customHeight="1" x14ac:dyDescent="0.2">
      <c r="A149" s="195" t="s">
        <v>833</v>
      </c>
      <c r="B149" s="195" t="s">
        <v>1219</v>
      </c>
      <c r="C149" s="194">
        <v>1.5560844986937845</v>
      </c>
      <c r="D149" s="194">
        <v>-4.7509185418979083E-3</v>
      </c>
    </row>
    <row r="150" spans="1:4" ht="21.75" customHeight="1" x14ac:dyDescent="0.2">
      <c r="A150" s="195" t="s">
        <v>834</v>
      </c>
      <c r="B150" s="195" t="s">
        <v>1220</v>
      </c>
      <c r="C150" s="194">
        <v>1.6859101443521414</v>
      </c>
      <c r="D150" s="194">
        <v>0.14685149664148911</v>
      </c>
    </row>
    <row r="151" spans="1:4" ht="21.75" customHeight="1" x14ac:dyDescent="0.2">
      <c r="A151" s="195" t="s">
        <v>835</v>
      </c>
      <c r="B151" s="195" t="s">
        <v>1220</v>
      </c>
      <c r="C151" s="194">
        <v>1.6859101443521414</v>
      </c>
      <c r="D151" s="194">
        <v>0.15266377324269098</v>
      </c>
    </row>
    <row r="152" spans="1:4" ht="21.75" customHeight="1" x14ac:dyDescent="0.2">
      <c r="A152" s="195" t="s">
        <v>836</v>
      </c>
      <c r="B152" s="195" t="s">
        <v>1221</v>
      </c>
      <c r="C152" s="194">
        <v>0.72845018177937515</v>
      </c>
      <c r="D152" s="194">
        <v>19.161850748051663</v>
      </c>
    </row>
    <row r="153" spans="1:4" ht="21.75" customHeight="1" x14ac:dyDescent="0.2">
      <c r="A153" s="195" t="s">
        <v>837</v>
      </c>
      <c r="B153" s="195" t="s">
        <v>1222</v>
      </c>
      <c r="C153" s="194">
        <v>2.7380531793162302</v>
      </c>
      <c r="D153" s="194">
        <v>5.2943771195522302</v>
      </c>
    </row>
    <row r="154" spans="1:4" ht="21.75" customHeight="1" x14ac:dyDescent="0.2">
      <c r="A154" s="195" t="s">
        <v>838</v>
      </c>
      <c r="B154" s="195" t="s">
        <v>1223</v>
      </c>
      <c r="C154" s="194">
        <v>0.92319865761458419</v>
      </c>
      <c r="D154" s="194">
        <v>1.8635843712338702</v>
      </c>
    </row>
    <row r="155" spans="1:4" ht="21.75" customHeight="1" x14ac:dyDescent="0.2">
      <c r="A155" s="195" t="s">
        <v>839</v>
      </c>
      <c r="B155" s="195" t="s">
        <v>1439</v>
      </c>
      <c r="C155" s="194">
        <v>-6.5211960974403252E-2</v>
      </c>
      <c r="D155" s="194">
        <v>2.5402957255340461E-2</v>
      </c>
    </row>
    <row r="156" spans="1:4" ht="21.75" customHeight="1" x14ac:dyDescent="0.2">
      <c r="A156" s="195" t="s">
        <v>840</v>
      </c>
      <c r="B156" s="195" t="s">
        <v>1438</v>
      </c>
      <c r="C156" s="194">
        <v>0</v>
      </c>
      <c r="D156" s="194">
        <v>0</v>
      </c>
    </row>
    <row r="157" spans="1:4" ht="21.75" customHeight="1" x14ac:dyDescent="0.2">
      <c r="A157" s="195" t="s">
        <v>841</v>
      </c>
      <c r="B157" s="195" t="s">
        <v>1224</v>
      </c>
      <c r="C157" s="194">
        <v>0.24204412428251801</v>
      </c>
      <c r="D157" s="194">
        <v>1.011502502493522</v>
      </c>
    </row>
    <row r="158" spans="1:4" ht="21.75" customHeight="1" x14ac:dyDescent="0.2">
      <c r="A158" s="195" t="s">
        <v>842</v>
      </c>
      <c r="B158" s="195" t="s">
        <v>1225</v>
      </c>
      <c r="C158" s="194">
        <v>0.19049273054561322</v>
      </c>
      <c r="D158" s="194">
        <v>1.6187058336257889</v>
      </c>
    </row>
    <row r="159" spans="1:4" ht="21.75" customHeight="1" x14ac:dyDescent="0.2">
      <c r="A159" s="195" t="s">
        <v>843</v>
      </c>
      <c r="B159" s="195" t="s">
        <v>1226</v>
      </c>
      <c r="C159" s="194">
        <v>0</v>
      </c>
      <c r="D159" s="194">
        <v>2.6607862915909335</v>
      </c>
    </row>
    <row r="160" spans="1:4" ht="21.75" customHeight="1" x14ac:dyDescent="0.2">
      <c r="A160" s="195" t="s">
        <v>844</v>
      </c>
      <c r="B160" s="195" t="s">
        <v>1227</v>
      </c>
      <c r="C160" s="194">
        <v>0</v>
      </c>
      <c r="D160" s="194">
        <v>0</v>
      </c>
    </row>
    <row r="161" spans="1:4" ht="21.75" customHeight="1" x14ac:dyDescent="0.2">
      <c r="A161" s="195" t="s">
        <v>845</v>
      </c>
      <c r="B161" s="195" t="s">
        <v>1228</v>
      </c>
      <c r="C161" s="194">
        <v>0</v>
      </c>
      <c r="D161" s="194">
        <v>0</v>
      </c>
    </row>
    <row r="162" spans="1:4" ht="21.75" customHeight="1" x14ac:dyDescent="0.2">
      <c r="A162" s="195" t="s">
        <v>846</v>
      </c>
      <c r="B162" s="195" t="s">
        <v>1229</v>
      </c>
      <c r="C162" s="194">
        <v>0</v>
      </c>
      <c r="D162" s="194">
        <v>6.1758074750449627E-3</v>
      </c>
    </row>
    <row r="163" spans="1:4" ht="21.75" customHeight="1" x14ac:dyDescent="0.2">
      <c r="A163" s="195" t="s">
        <v>847</v>
      </c>
      <c r="B163" s="195" t="s">
        <v>1230</v>
      </c>
      <c r="C163" s="194">
        <v>0.72553214476579608</v>
      </c>
      <c r="D163" s="194">
        <v>4.9432048414049783</v>
      </c>
    </row>
    <row r="164" spans="1:4" ht="21.75" customHeight="1" x14ac:dyDescent="0.2">
      <c r="A164" s="195" t="s">
        <v>848</v>
      </c>
      <c r="B164" s="195" t="s">
        <v>1231</v>
      </c>
      <c r="C164" s="194">
        <v>0.65609863936483503</v>
      </c>
      <c r="D164" s="194">
        <v>2.4874535673925786</v>
      </c>
    </row>
    <row r="165" spans="1:4" ht="21.75" customHeight="1" x14ac:dyDescent="0.2">
      <c r="A165" s="195" t="s">
        <v>849</v>
      </c>
      <c r="B165" s="195" t="s">
        <v>1232</v>
      </c>
      <c r="C165" s="194">
        <v>0.77683370700294407</v>
      </c>
      <c r="D165" s="194">
        <v>3.9455848578308865</v>
      </c>
    </row>
    <row r="166" spans="1:4" ht="21.75" customHeight="1" x14ac:dyDescent="0.2">
      <c r="A166" s="195" t="s">
        <v>850</v>
      </c>
      <c r="B166" s="195" t="s">
        <v>1233</v>
      </c>
      <c r="C166" s="194">
        <v>1.6199267372271995</v>
      </c>
      <c r="D166" s="194">
        <v>3.8855812991170326</v>
      </c>
    </row>
    <row r="167" spans="1:4" ht="21.75" customHeight="1" x14ac:dyDescent="0.2">
      <c r="A167" s="195" t="s">
        <v>851</v>
      </c>
      <c r="B167" s="195" t="s">
        <v>1234</v>
      </c>
      <c r="C167" s="194">
        <v>2.0868062466742483</v>
      </c>
      <c r="D167" s="194">
        <v>4.096947376849327</v>
      </c>
    </row>
    <row r="168" spans="1:4" ht="21.75" customHeight="1" x14ac:dyDescent="0.2">
      <c r="A168" s="195" t="s">
        <v>852</v>
      </c>
      <c r="B168" s="195" t="s">
        <v>1235</v>
      </c>
      <c r="C168" s="194">
        <v>2.2884820614045198</v>
      </c>
      <c r="D168" s="194">
        <v>3.5335254024829954</v>
      </c>
    </row>
    <row r="169" spans="1:4" ht="21.75" customHeight="1" x14ac:dyDescent="0.2">
      <c r="A169" s="195" t="s">
        <v>853</v>
      </c>
      <c r="B169" s="195" t="s">
        <v>1236</v>
      </c>
      <c r="C169" s="194">
        <v>0.34500432691541899</v>
      </c>
      <c r="D169" s="194">
        <v>18.830991533730014</v>
      </c>
    </row>
    <row r="170" spans="1:4" ht="21.75" customHeight="1" x14ac:dyDescent="0.2">
      <c r="A170" s="195" t="s">
        <v>854</v>
      </c>
      <c r="B170" s="195" t="s">
        <v>1237</v>
      </c>
      <c r="C170" s="194">
        <v>0.1404998054056848</v>
      </c>
      <c r="D170" s="194">
        <v>4.7765508453401448</v>
      </c>
    </row>
    <row r="171" spans="1:4" ht="21.75" customHeight="1" x14ac:dyDescent="0.2">
      <c r="A171" s="195" t="s">
        <v>855</v>
      </c>
      <c r="B171" s="195" t="s">
        <v>1238</v>
      </c>
      <c r="C171" s="194">
        <v>2.62164879393448E-2</v>
      </c>
      <c r="D171" s="194">
        <v>3.1390156555129249</v>
      </c>
    </row>
    <row r="172" spans="1:4" ht="21.75" customHeight="1" x14ac:dyDescent="0.2">
      <c r="A172" s="195" t="s">
        <v>856</v>
      </c>
      <c r="B172" s="195" t="s">
        <v>1239</v>
      </c>
      <c r="C172" s="194">
        <v>1.2232043147322931</v>
      </c>
      <c r="D172" s="194">
        <v>6.9392368265879494</v>
      </c>
    </row>
    <row r="173" spans="1:4" ht="21.75" customHeight="1" x14ac:dyDescent="0.2">
      <c r="A173" s="195" t="s">
        <v>857</v>
      </c>
      <c r="B173" s="195" t="s">
        <v>1240</v>
      </c>
      <c r="C173" s="194">
        <v>0.10826505486759599</v>
      </c>
      <c r="D173" s="194">
        <v>1.9973139399215896</v>
      </c>
    </row>
    <row r="174" spans="1:4" ht="21.75" customHeight="1" x14ac:dyDescent="0.2">
      <c r="A174" s="195" t="s">
        <v>858</v>
      </c>
      <c r="B174" s="195" t="s">
        <v>1240</v>
      </c>
      <c r="C174" s="194">
        <v>0.10890098726448399</v>
      </c>
      <c r="D174" s="194">
        <v>1.7772242387189106</v>
      </c>
    </row>
    <row r="175" spans="1:4" ht="21.75" customHeight="1" x14ac:dyDescent="0.2">
      <c r="A175" s="195" t="s">
        <v>859</v>
      </c>
      <c r="B175" s="195" t="s">
        <v>1241</v>
      </c>
      <c r="C175" s="194">
        <v>4.8467638079115499E-2</v>
      </c>
      <c r="D175" s="194">
        <v>4.3520508159685427</v>
      </c>
    </row>
    <row r="176" spans="1:4" ht="21.75" customHeight="1" x14ac:dyDescent="0.2">
      <c r="A176" s="195" t="s">
        <v>860</v>
      </c>
      <c r="B176" s="195" t="s">
        <v>1242</v>
      </c>
      <c r="C176" s="194">
        <v>2.4244716968160911</v>
      </c>
      <c r="D176" s="194">
        <v>0.66754661221390865</v>
      </c>
    </row>
    <row r="177" spans="1:4" ht="21.75" customHeight="1" x14ac:dyDescent="0.2">
      <c r="A177" s="195" t="s">
        <v>861</v>
      </c>
      <c r="B177" s="195" t="s">
        <v>1242</v>
      </c>
      <c r="C177" s="194">
        <v>2.2924746213290597</v>
      </c>
      <c r="D177" s="194">
        <v>0.59625909412872513</v>
      </c>
    </row>
    <row r="178" spans="1:4" ht="21.75" customHeight="1" x14ac:dyDescent="0.2">
      <c r="A178" s="195" t="s">
        <v>862</v>
      </c>
      <c r="B178" s="196" t="s">
        <v>1243</v>
      </c>
      <c r="C178" s="194">
        <v>0</v>
      </c>
      <c r="D178" s="194">
        <v>0</v>
      </c>
    </row>
    <row r="179" spans="1:4" ht="21.75" customHeight="1" x14ac:dyDescent="0.2">
      <c r="A179" s="195" t="s">
        <v>863</v>
      </c>
      <c r="B179" s="195" t="s">
        <v>1243</v>
      </c>
      <c r="C179" s="194">
        <v>0.34645721239084859</v>
      </c>
      <c r="D179" s="194">
        <v>1.3576666158194106</v>
      </c>
    </row>
    <row r="180" spans="1:4" ht="21.75" customHeight="1" x14ac:dyDescent="0.2">
      <c r="A180" s="195" t="s">
        <v>864</v>
      </c>
      <c r="B180" s="195" t="s">
        <v>1244</v>
      </c>
      <c r="C180" s="194">
        <v>9.42744481048544E-2</v>
      </c>
      <c r="D180" s="194">
        <v>1.9924157169081822</v>
      </c>
    </row>
    <row r="181" spans="1:4" ht="21.75" customHeight="1" x14ac:dyDescent="0.2">
      <c r="A181" s="195" t="s">
        <v>865</v>
      </c>
      <c r="B181" s="195" t="s">
        <v>1245</v>
      </c>
      <c r="C181" s="194">
        <v>0.85737134081649602</v>
      </c>
      <c r="D181" s="194">
        <v>5.864984207871041</v>
      </c>
    </row>
    <row r="182" spans="1:4" ht="21.75" customHeight="1" x14ac:dyDescent="0.2">
      <c r="A182" s="195" t="s">
        <v>866</v>
      </c>
      <c r="B182" s="195" t="s">
        <v>1246</v>
      </c>
      <c r="C182" s="194">
        <v>0.12247045132321091</v>
      </c>
      <c r="D182" s="194">
        <v>9.9425708599280931</v>
      </c>
    </row>
    <row r="183" spans="1:4" ht="21.75" customHeight="1" x14ac:dyDescent="0.2">
      <c r="A183" s="195" t="s">
        <v>867</v>
      </c>
      <c r="B183" s="195" t="s">
        <v>1247</v>
      </c>
      <c r="C183" s="194">
        <v>1.926993396962877</v>
      </c>
      <c r="D183" s="194">
        <v>7.3089381484483278</v>
      </c>
    </row>
    <row r="184" spans="1:4" ht="21.75" customHeight="1" x14ac:dyDescent="0.2">
      <c r="A184" s="195" t="s">
        <v>868</v>
      </c>
      <c r="B184" s="195" t="s">
        <v>1248</v>
      </c>
      <c r="C184" s="194">
        <v>0.35061198825562218</v>
      </c>
      <c r="D184" s="194">
        <v>4.4059081320036997E-2</v>
      </c>
    </row>
    <row r="185" spans="1:4" ht="21.75" customHeight="1" x14ac:dyDescent="0.2">
      <c r="A185" s="195" t="s">
        <v>869</v>
      </c>
      <c r="B185" s="195" t="s">
        <v>1249</v>
      </c>
      <c r="C185" s="194">
        <v>1.1500328773338331</v>
      </c>
      <c r="D185" s="194">
        <v>7.3510971965327911</v>
      </c>
    </row>
    <row r="186" spans="1:4" ht="21.75" customHeight="1" x14ac:dyDescent="0.2">
      <c r="A186" s="195" t="s">
        <v>870</v>
      </c>
      <c r="B186" s="195" t="s">
        <v>1250</v>
      </c>
      <c r="C186" s="194">
        <v>0.82541360242984507</v>
      </c>
      <c r="D186" s="194">
        <v>3.1643950772978524</v>
      </c>
    </row>
    <row r="187" spans="1:4" ht="21.75" customHeight="1" x14ac:dyDescent="0.2">
      <c r="A187" s="195" t="s">
        <v>871</v>
      </c>
      <c r="B187" s="195" t="s">
        <v>1251</v>
      </c>
      <c r="C187" s="194">
        <v>0.27773639460561006</v>
      </c>
      <c r="D187" s="194">
        <v>8.0768812670592496</v>
      </c>
    </row>
    <row r="188" spans="1:4" ht="21.75" customHeight="1" x14ac:dyDescent="0.2">
      <c r="A188" s="195" t="s">
        <v>872</v>
      </c>
      <c r="B188" s="195" t="s">
        <v>1252</v>
      </c>
      <c r="C188" s="194">
        <v>4.3865734437108799</v>
      </c>
      <c r="D188" s="194">
        <v>3.7316303402771922E-2</v>
      </c>
    </row>
    <row r="189" spans="1:4" ht="21.75" customHeight="1" x14ac:dyDescent="0.2">
      <c r="A189" s="195" t="s">
        <v>873</v>
      </c>
      <c r="B189" s="196" t="s">
        <v>1253</v>
      </c>
      <c r="C189" s="194">
        <v>0</v>
      </c>
      <c r="D189" s="194">
        <v>0</v>
      </c>
    </row>
    <row r="190" spans="1:4" ht="21.75" customHeight="1" x14ac:dyDescent="0.2">
      <c r="A190" s="195" t="s">
        <v>874</v>
      </c>
      <c r="B190" s="195" t="s">
        <v>1253</v>
      </c>
      <c r="C190" s="194">
        <v>21.580598602453609</v>
      </c>
      <c r="D190" s="194">
        <v>0.36210126075831539</v>
      </c>
    </row>
    <row r="191" spans="1:4" ht="21.75" customHeight="1" x14ac:dyDescent="0.2">
      <c r="A191" s="195" t="s">
        <v>875</v>
      </c>
      <c r="B191" s="195" t="s">
        <v>1254</v>
      </c>
      <c r="C191" s="194">
        <v>0.79928389901911667</v>
      </c>
      <c r="D191" s="194">
        <v>0.26401436839116355</v>
      </c>
    </row>
    <row r="192" spans="1:4" ht="21.75" customHeight="1" x14ac:dyDescent="0.2">
      <c r="A192" s="195" t="s">
        <v>876</v>
      </c>
      <c r="B192" s="195" t="s">
        <v>1255</v>
      </c>
      <c r="C192" s="194">
        <v>1.60477112780404</v>
      </c>
      <c r="D192" s="194">
        <v>7.2629319528392537</v>
      </c>
    </row>
    <row r="193" spans="1:4" ht="21.75" customHeight="1" x14ac:dyDescent="0.2">
      <c r="A193" s="195" t="s">
        <v>877</v>
      </c>
      <c r="B193" s="195" t="s">
        <v>1256</v>
      </c>
      <c r="C193" s="194">
        <v>0.31266855609335498</v>
      </c>
      <c r="D193" s="194">
        <v>6.8534802685709968</v>
      </c>
    </row>
    <row r="194" spans="1:4" ht="21.75" customHeight="1" x14ac:dyDescent="0.2">
      <c r="A194" s="195" t="s">
        <v>878</v>
      </c>
      <c r="B194" s="195" t="s">
        <v>1453</v>
      </c>
      <c r="C194" s="194">
        <v>1.9916335948600881</v>
      </c>
      <c r="D194" s="194">
        <v>8.9099844527283114</v>
      </c>
    </row>
    <row r="195" spans="1:4" ht="21.75" customHeight="1" x14ac:dyDescent="0.2">
      <c r="A195" s="195" t="s">
        <v>879</v>
      </c>
      <c r="B195" s="195" t="s">
        <v>1437</v>
      </c>
      <c r="C195" s="194">
        <v>0</v>
      </c>
      <c r="D195" s="194">
        <v>0</v>
      </c>
    </row>
    <row r="196" spans="1:4" ht="21.75" customHeight="1" x14ac:dyDescent="0.2">
      <c r="A196" s="195" t="s">
        <v>880</v>
      </c>
      <c r="B196" s="195" t="s">
        <v>1257</v>
      </c>
      <c r="C196" s="194">
        <v>0.57937492604699892</v>
      </c>
      <c r="D196" s="194">
        <v>5.1473572458098173</v>
      </c>
    </row>
    <row r="197" spans="1:4" ht="21.75" customHeight="1" x14ac:dyDescent="0.2">
      <c r="A197" s="195" t="s">
        <v>881</v>
      </c>
      <c r="B197" s="195" t="s">
        <v>1258</v>
      </c>
      <c r="C197" s="194">
        <v>0.41531245702105107</v>
      </c>
      <c r="D197" s="194">
        <v>11.932663283814463</v>
      </c>
    </row>
    <row r="198" spans="1:4" ht="21.75" customHeight="1" x14ac:dyDescent="0.2">
      <c r="A198" s="195" t="s">
        <v>882</v>
      </c>
      <c r="B198" s="195" t="s">
        <v>1259</v>
      </c>
      <c r="C198" s="194">
        <v>1.25770782205194</v>
      </c>
      <c r="D198" s="194">
        <v>5.2627856592685403</v>
      </c>
    </row>
    <row r="199" spans="1:4" ht="21.75" customHeight="1" x14ac:dyDescent="0.2">
      <c r="A199" s="195" t="s">
        <v>883</v>
      </c>
      <c r="B199" s="195" t="s">
        <v>1260</v>
      </c>
      <c r="C199" s="194">
        <v>8.3260765413389198E-4</v>
      </c>
      <c r="D199" s="194">
        <v>0.41328909165970878</v>
      </c>
    </row>
    <row r="200" spans="1:4" ht="21.75" customHeight="1" x14ac:dyDescent="0.2">
      <c r="A200" s="195" t="s">
        <v>884</v>
      </c>
      <c r="B200" s="195" t="s">
        <v>1261</v>
      </c>
      <c r="C200" s="194">
        <v>3.1082893998532996E-2</v>
      </c>
      <c r="D200" s="194">
        <v>0</v>
      </c>
    </row>
    <row r="201" spans="1:4" ht="21.75" customHeight="1" x14ac:dyDescent="0.2">
      <c r="A201" s="195" t="s">
        <v>885</v>
      </c>
      <c r="B201" s="195" t="s">
        <v>1262</v>
      </c>
      <c r="C201" s="194">
        <v>0</v>
      </c>
      <c r="D201" s="194">
        <v>0</v>
      </c>
    </row>
    <row r="202" spans="1:4" ht="21.75" customHeight="1" x14ac:dyDescent="0.2">
      <c r="A202" s="195" t="s">
        <v>886</v>
      </c>
      <c r="B202" s="195" t="s">
        <v>1262</v>
      </c>
      <c r="C202" s="194">
        <v>1.636538025668473</v>
      </c>
      <c r="D202" s="194">
        <v>1.105777321928096</v>
      </c>
    </row>
    <row r="203" spans="1:4" ht="21.75" customHeight="1" x14ac:dyDescent="0.2">
      <c r="A203" s="195" t="s">
        <v>887</v>
      </c>
      <c r="B203" s="195" t="s">
        <v>1436</v>
      </c>
      <c r="C203" s="194">
        <v>0</v>
      </c>
      <c r="D203" s="194">
        <v>0</v>
      </c>
    </row>
    <row r="204" spans="1:4" ht="21.75" customHeight="1" x14ac:dyDescent="0.2">
      <c r="A204" s="195" t="s">
        <v>888</v>
      </c>
      <c r="B204" s="195" t="s">
        <v>1263</v>
      </c>
      <c r="C204" s="194">
        <v>9.4985015830035976E-2</v>
      </c>
      <c r="D204" s="194">
        <v>2.2239715111902342E-2</v>
      </c>
    </row>
    <row r="205" spans="1:4" ht="21.75" customHeight="1" x14ac:dyDescent="0.2">
      <c r="A205" s="195" t="s">
        <v>889</v>
      </c>
      <c r="B205" s="195" t="s">
        <v>1263</v>
      </c>
      <c r="C205" s="194">
        <v>6.9888251741463583E-2</v>
      </c>
      <c r="D205" s="194">
        <v>2.8429676855076941E-3</v>
      </c>
    </row>
    <row r="206" spans="1:4" ht="21.75" customHeight="1" x14ac:dyDescent="0.2">
      <c r="A206" s="195" t="s">
        <v>890</v>
      </c>
      <c r="B206" s="195" t="s">
        <v>1264</v>
      </c>
      <c r="C206" s="194">
        <v>2.8954061917423042</v>
      </c>
      <c r="D206" s="194">
        <v>5.987046655464888</v>
      </c>
    </row>
    <row r="207" spans="1:4" ht="21.75" customHeight="1" x14ac:dyDescent="0.2">
      <c r="A207" s="195" t="s">
        <v>891</v>
      </c>
      <c r="B207" s="195" t="s">
        <v>1264</v>
      </c>
      <c r="C207" s="194">
        <v>18.637623356482703</v>
      </c>
      <c r="D207" s="194">
        <v>0.16550730748879161</v>
      </c>
    </row>
    <row r="208" spans="1:4" ht="21.75" customHeight="1" x14ac:dyDescent="0.2">
      <c r="A208" s="195" t="s">
        <v>892</v>
      </c>
      <c r="B208" s="195" t="s">
        <v>1329</v>
      </c>
      <c r="C208" s="194">
        <v>0</v>
      </c>
      <c r="D208" s="194">
        <v>0</v>
      </c>
    </row>
    <row r="209" spans="1:4" ht="21.75" customHeight="1" x14ac:dyDescent="0.2">
      <c r="A209" s="195" t="s">
        <v>893</v>
      </c>
      <c r="B209" s="195" t="s">
        <v>1264</v>
      </c>
      <c r="C209" s="194">
        <v>8.5110481416250039</v>
      </c>
      <c r="D209" s="194">
        <v>0.13208660664727212</v>
      </c>
    </row>
    <row r="210" spans="1:4" ht="21.75" customHeight="1" x14ac:dyDescent="0.2">
      <c r="A210" s="195" t="s">
        <v>894</v>
      </c>
      <c r="B210" s="196" t="s">
        <v>1260</v>
      </c>
      <c r="C210" s="194">
        <v>0</v>
      </c>
      <c r="D210" s="194">
        <v>0</v>
      </c>
    </row>
    <row r="211" spans="1:4" ht="21.75" customHeight="1" x14ac:dyDescent="0.2">
      <c r="A211" s="195" t="s">
        <v>895</v>
      </c>
      <c r="B211" s="195" t="s">
        <v>1265</v>
      </c>
      <c r="C211" s="194">
        <v>-6.1923178917597322E-3</v>
      </c>
      <c r="D211" s="194">
        <v>1.4264669974453754E-2</v>
      </c>
    </row>
    <row r="212" spans="1:4" ht="21.75" customHeight="1" x14ac:dyDescent="0.2">
      <c r="A212" s="195" t="s">
        <v>896</v>
      </c>
      <c r="B212" s="195" t="s">
        <v>1266</v>
      </c>
      <c r="C212" s="194">
        <v>0.24838918963341722</v>
      </c>
      <c r="D212" s="194">
        <v>8.5819605887343471</v>
      </c>
    </row>
    <row r="213" spans="1:4" ht="21.75" customHeight="1" x14ac:dyDescent="0.2">
      <c r="A213" s="195" t="s">
        <v>897</v>
      </c>
      <c r="B213" s="195" t="s">
        <v>1267</v>
      </c>
      <c r="C213" s="194">
        <v>0.67611651977025811</v>
      </c>
      <c r="D213" s="194">
        <v>5.1968566286567421</v>
      </c>
    </row>
    <row r="214" spans="1:4" ht="21.75" customHeight="1" x14ac:dyDescent="0.2">
      <c r="A214" s="195" t="s">
        <v>898</v>
      </c>
      <c r="B214" s="195" t="s">
        <v>1268</v>
      </c>
      <c r="C214" s="194">
        <v>0.294568010485524</v>
      </c>
      <c r="D214" s="194">
        <v>0.38792722845369348</v>
      </c>
    </row>
    <row r="215" spans="1:4" ht="21.75" customHeight="1" x14ac:dyDescent="0.2">
      <c r="A215" s="195" t="s">
        <v>899</v>
      </c>
      <c r="B215" s="195" t="s">
        <v>1269</v>
      </c>
      <c r="C215" s="194">
        <v>3.5780705396728387</v>
      </c>
      <c r="D215" s="194">
        <v>0.24484513805207619</v>
      </c>
    </row>
    <row r="216" spans="1:4" ht="21.75" customHeight="1" x14ac:dyDescent="0.2">
      <c r="A216" s="195" t="s">
        <v>900</v>
      </c>
      <c r="B216" s="195" t="s">
        <v>1269</v>
      </c>
      <c r="C216" s="194">
        <v>3.1613372378067899</v>
      </c>
      <c r="D216" s="194">
        <v>0.25497093614893451</v>
      </c>
    </row>
    <row r="217" spans="1:4" ht="21.75" customHeight="1" x14ac:dyDescent="0.2">
      <c r="A217" s="195" t="s">
        <v>901</v>
      </c>
      <c r="B217" s="196" t="s">
        <v>1270</v>
      </c>
      <c r="C217" s="194">
        <v>0</v>
      </c>
      <c r="D217" s="194">
        <v>0</v>
      </c>
    </row>
    <row r="218" spans="1:4" ht="21.75" customHeight="1" x14ac:dyDescent="0.2">
      <c r="A218" s="195" t="s">
        <v>902</v>
      </c>
      <c r="B218" s="195" t="s">
        <v>1270</v>
      </c>
      <c r="C218" s="194">
        <v>6.5179097186300564E-2</v>
      </c>
      <c r="D218" s="194">
        <v>2.8488008148377375E-3</v>
      </c>
    </row>
    <row r="219" spans="1:4" ht="21.75" customHeight="1" x14ac:dyDescent="0.2">
      <c r="A219" s="195" t="s">
        <v>903</v>
      </c>
      <c r="B219" s="195" t="s">
        <v>1271</v>
      </c>
      <c r="C219" s="194">
        <v>0</v>
      </c>
      <c r="D219" s="194">
        <v>0</v>
      </c>
    </row>
    <row r="220" spans="1:4" ht="21.75" customHeight="1" x14ac:dyDescent="0.2">
      <c r="A220" s="195" t="s">
        <v>904</v>
      </c>
      <c r="B220" s="195" t="s">
        <v>1272</v>
      </c>
      <c r="C220" s="194">
        <v>0</v>
      </c>
      <c r="D220" s="194">
        <v>0.32519907306434837</v>
      </c>
    </row>
    <row r="221" spans="1:4" ht="21.75" customHeight="1" x14ac:dyDescent="0.2">
      <c r="A221" s="195" t="s">
        <v>905</v>
      </c>
      <c r="B221" s="195" t="s">
        <v>1272</v>
      </c>
      <c r="C221" s="194">
        <v>9.1171591203502794E-2</v>
      </c>
      <c r="D221" s="194">
        <v>0.37896478656312049</v>
      </c>
    </row>
    <row r="222" spans="1:4" ht="21.75" customHeight="1" x14ac:dyDescent="0.2">
      <c r="A222" s="195" t="s">
        <v>906</v>
      </c>
      <c r="B222" s="195" t="s">
        <v>1273</v>
      </c>
      <c r="C222" s="194">
        <v>0.43303056914792804</v>
      </c>
      <c r="D222" s="194">
        <v>2.9558678681300528</v>
      </c>
    </row>
    <row r="223" spans="1:4" ht="21.75" customHeight="1" x14ac:dyDescent="0.2">
      <c r="A223" s="195" t="s">
        <v>907</v>
      </c>
      <c r="B223" s="195" t="s">
        <v>1274</v>
      </c>
      <c r="C223" s="194">
        <v>5.9322991387253499E-2</v>
      </c>
      <c r="D223" s="194">
        <v>3.7476372401570845</v>
      </c>
    </row>
    <row r="224" spans="1:4" ht="21.75" customHeight="1" x14ac:dyDescent="0.2">
      <c r="A224" s="195" t="s">
        <v>908</v>
      </c>
      <c r="B224" s="195" t="s">
        <v>1275</v>
      </c>
      <c r="C224" s="194">
        <v>1.1342568580510921</v>
      </c>
      <c r="D224" s="194">
        <v>6.1778222070240867</v>
      </c>
    </row>
    <row r="225" spans="1:4" ht="21.75" customHeight="1" x14ac:dyDescent="0.2">
      <c r="A225" s="195" t="s">
        <v>909</v>
      </c>
      <c r="B225" s="195" t="s">
        <v>1276</v>
      </c>
      <c r="C225" s="194">
        <v>1.5461595951416509</v>
      </c>
      <c r="D225" s="194">
        <v>38.926167531851455</v>
      </c>
    </row>
    <row r="226" spans="1:4" ht="21.75" customHeight="1" x14ac:dyDescent="0.2">
      <c r="A226" s="195" t="s">
        <v>910</v>
      </c>
      <c r="B226" s="195" t="s">
        <v>1277</v>
      </c>
      <c r="C226" s="194">
        <v>0</v>
      </c>
      <c r="D226" s="194">
        <v>0</v>
      </c>
    </row>
    <row r="227" spans="1:4" ht="21.75" customHeight="1" x14ac:dyDescent="0.2">
      <c r="A227" s="195" t="s">
        <v>911</v>
      </c>
      <c r="B227" s="195" t="s">
        <v>1277</v>
      </c>
      <c r="C227" s="194">
        <v>0</v>
      </c>
      <c r="D227" s="194">
        <v>0</v>
      </c>
    </row>
    <row r="228" spans="1:4" ht="21.75" customHeight="1" x14ac:dyDescent="0.2">
      <c r="A228" s="195" t="s">
        <v>912</v>
      </c>
      <c r="B228" s="195" t="s">
        <v>1278</v>
      </c>
      <c r="C228" s="194">
        <v>0</v>
      </c>
      <c r="D228" s="194">
        <v>0.11969795608603195</v>
      </c>
    </row>
    <row r="229" spans="1:4" ht="21.75" customHeight="1" x14ac:dyDescent="0.2">
      <c r="A229" s="195" t="s">
        <v>913</v>
      </c>
      <c r="B229" s="195" t="s">
        <v>1279</v>
      </c>
      <c r="C229" s="194">
        <v>0.36485664639951898</v>
      </c>
      <c r="D229" s="194">
        <v>5.1792292920967951</v>
      </c>
    </row>
    <row r="230" spans="1:4" ht="21.75" customHeight="1" x14ac:dyDescent="0.2">
      <c r="A230" s="195" t="s">
        <v>914</v>
      </c>
      <c r="B230" s="196" t="s">
        <v>1280</v>
      </c>
      <c r="C230" s="194">
        <v>0</v>
      </c>
      <c r="D230" s="194">
        <v>0</v>
      </c>
    </row>
    <row r="231" spans="1:4" ht="21.75" customHeight="1" x14ac:dyDescent="0.2">
      <c r="A231" s="195" t="s">
        <v>915</v>
      </c>
      <c r="B231" s="195" t="s">
        <v>1280</v>
      </c>
      <c r="C231" s="194">
        <v>4.8349880885634102E-4</v>
      </c>
      <c r="D231" s="194">
        <v>0.66480367663430784</v>
      </c>
    </row>
    <row r="232" spans="1:4" ht="21.75" customHeight="1" x14ac:dyDescent="0.2">
      <c r="A232" s="195" t="s">
        <v>916</v>
      </c>
      <c r="B232" s="195" t="s">
        <v>1281</v>
      </c>
      <c r="C232" s="194">
        <v>0</v>
      </c>
      <c r="D232" s="194">
        <v>0</v>
      </c>
    </row>
    <row r="233" spans="1:4" ht="21.75" customHeight="1" x14ac:dyDescent="0.2">
      <c r="A233" s="195" t="s">
        <v>917</v>
      </c>
      <c r="B233" s="195" t="s">
        <v>1454</v>
      </c>
      <c r="C233" s="194">
        <v>0</v>
      </c>
      <c r="D233" s="194">
        <v>0</v>
      </c>
    </row>
    <row r="234" spans="1:4" ht="21.75" customHeight="1" x14ac:dyDescent="0.2">
      <c r="A234" s="195" t="s">
        <v>918</v>
      </c>
      <c r="B234" s="195" t="s">
        <v>1282</v>
      </c>
      <c r="C234" s="194">
        <v>0.27215104494096709</v>
      </c>
      <c r="D234" s="194">
        <v>10.011476745876383</v>
      </c>
    </row>
    <row r="235" spans="1:4" ht="21.75" customHeight="1" x14ac:dyDescent="0.2">
      <c r="A235" s="195" t="s">
        <v>919</v>
      </c>
      <c r="B235" s="195" t="s">
        <v>1282</v>
      </c>
      <c r="C235" s="194">
        <v>0.27215104494096709</v>
      </c>
      <c r="D235" s="194">
        <v>10.011476745876383</v>
      </c>
    </row>
    <row r="236" spans="1:4" ht="21.75" customHeight="1" x14ac:dyDescent="0.2">
      <c r="A236" s="195" t="s">
        <v>920</v>
      </c>
      <c r="B236" s="195" t="s">
        <v>1283</v>
      </c>
      <c r="C236" s="194">
        <v>0</v>
      </c>
      <c r="D236" s="194">
        <v>0.16734103296090586</v>
      </c>
    </row>
    <row r="237" spans="1:4" ht="21.75" customHeight="1" x14ac:dyDescent="0.2">
      <c r="A237" s="195" t="s">
        <v>921</v>
      </c>
      <c r="B237" s="195" t="s">
        <v>1284</v>
      </c>
      <c r="C237" s="194">
        <v>0.56556429664990715</v>
      </c>
      <c r="D237" s="194">
        <v>3.430290980393258E-2</v>
      </c>
    </row>
    <row r="238" spans="1:4" ht="21.75" customHeight="1" x14ac:dyDescent="0.2">
      <c r="A238" s="195" t="s">
        <v>922</v>
      </c>
      <c r="B238" s="195" t="s">
        <v>1284</v>
      </c>
      <c r="C238" s="194">
        <v>0.49355623730193338</v>
      </c>
      <c r="D238" s="194">
        <v>0.15187686900341529</v>
      </c>
    </row>
    <row r="239" spans="1:4" ht="21.75" customHeight="1" x14ac:dyDescent="0.2">
      <c r="A239" s="195" t="s">
        <v>923</v>
      </c>
      <c r="B239" s="195" t="s">
        <v>1285</v>
      </c>
      <c r="C239" s="194">
        <v>0</v>
      </c>
      <c r="D239" s="194">
        <v>8.1316387256941187</v>
      </c>
    </row>
    <row r="240" spans="1:4" ht="21.75" customHeight="1" x14ac:dyDescent="0.2">
      <c r="A240" s="195" t="s">
        <v>924</v>
      </c>
      <c r="B240" s="195" t="s">
        <v>1286</v>
      </c>
      <c r="C240" s="194">
        <v>2.7562972282233599E-2</v>
      </c>
      <c r="D240" s="194">
        <v>3.2534265312867747</v>
      </c>
    </row>
    <row r="241" spans="1:4" ht="21.75" customHeight="1" x14ac:dyDescent="0.2">
      <c r="A241" s="195" t="s">
        <v>925</v>
      </c>
      <c r="B241" s="195" t="s">
        <v>1286</v>
      </c>
      <c r="C241" s="194">
        <v>2.77947222480842E-2</v>
      </c>
      <c r="D241" s="194">
        <v>3.2533657665834519</v>
      </c>
    </row>
    <row r="242" spans="1:4" ht="21.75" customHeight="1" x14ac:dyDescent="0.2">
      <c r="A242" s="195" t="s">
        <v>926</v>
      </c>
      <c r="B242" s="196" t="s">
        <v>1460</v>
      </c>
      <c r="C242" s="194">
        <v>0</v>
      </c>
      <c r="D242" s="194">
        <v>0</v>
      </c>
    </row>
    <row r="243" spans="1:4" ht="21.75" customHeight="1" x14ac:dyDescent="0.2">
      <c r="A243" s="195" t="s">
        <v>927</v>
      </c>
      <c r="B243" s="195" t="s">
        <v>1287</v>
      </c>
      <c r="C243" s="194">
        <v>0.34760587010675403</v>
      </c>
      <c r="D243" s="194">
        <v>9.7403930910936563</v>
      </c>
    </row>
    <row r="244" spans="1:4" ht="21.75" customHeight="1" x14ac:dyDescent="0.2">
      <c r="A244" s="195" t="s">
        <v>928</v>
      </c>
      <c r="B244" s="195" t="s">
        <v>1288</v>
      </c>
      <c r="C244" s="194">
        <v>1.1039545429224771</v>
      </c>
      <c r="D244" s="194">
        <v>5.7182993888546747</v>
      </c>
    </row>
    <row r="245" spans="1:4" ht="21.75" customHeight="1" x14ac:dyDescent="0.2">
      <c r="A245" s="195" t="s">
        <v>929</v>
      </c>
      <c r="B245" s="195" t="s">
        <v>1289</v>
      </c>
      <c r="C245" s="194">
        <v>0.72754667321447097</v>
      </c>
      <c r="D245" s="194">
        <v>9.0514134112491824</v>
      </c>
    </row>
    <row r="246" spans="1:4" ht="21.75" customHeight="1" x14ac:dyDescent="0.2">
      <c r="A246" s="195" t="s">
        <v>930</v>
      </c>
      <c r="B246" s="195" t="s">
        <v>1290</v>
      </c>
      <c r="C246" s="194">
        <v>0.80432460703152397</v>
      </c>
      <c r="D246" s="194">
        <v>19.841721556347093</v>
      </c>
    </row>
    <row r="247" spans="1:4" ht="21.75" customHeight="1" x14ac:dyDescent="0.2">
      <c r="A247" s="195" t="s">
        <v>931</v>
      </c>
      <c r="B247" s="195" t="s">
        <v>1291</v>
      </c>
      <c r="C247" s="194">
        <v>0.10265768584082299</v>
      </c>
      <c r="D247" s="194">
        <v>0.4621152002516985</v>
      </c>
    </row>
    <row r="248" spans="1:4" ht="21.75" customHeight="1" x14ac:dyDescent="0.2">
      <c r="A248" s="195" t="s">
        <v>932</v>
      </c>
      <c r="B248" s="195" t="s">
        <v>1291</v>
      </c>
      <c r="C248" s="194">
        <v>0.1491565747957429</v>
      </c>
      <c r="D248" s="194">
        <v>0.136973355115314</v>
      </c>
    </row>
    <row r="249" spans="1:4" ht="21.75" customHeight="1" x14ac:dyDescent="0.2">
      <c r="A249" s="195" t="s">
        <v>933</v>
      </c>
      <c r="B249" s="195" t="s">
        <v>1292</v>
      </c>
      <c r="C249" s="194">
        <v>-0.17408912644749408</v>
      </c>
      <c r="D249" s="194">
        <v>1.9757417969945945</v>
      </c>
    </row>
    <row r="250" spans="1:4" ht="21.75" customHeight="1" x14ac:dyDescent="0.2">
      <c r="A250" s="195" t="s">
        <v>934</v>
      </c>
      <c r="B250" s="195" t="s">
        <v>1293</v>
      </c>
      <c r="C250" s="194">
        <v>0</v>
      </c>
      <c r="D250" s="194">
        <v>0</v>
      </c>
    </row>
    <row r="251" spans="1:4" ht="21.75" customHeight="1" x14ac:dyDescent="0.2">
      <c r="A251" s="195" t="s">
        <v>935</v>
      </c>
      <c r="B251" s="195" t="s">
        <v>1294</v>
      </c>
      <c r="C251" s="194">
        <v>6.2560989864623717E-2</v>
      </c>
      <c r="D251" s="194">
        <v>0.54540832481025214</v>
      </c>
    </row>
    <row r="252" spans="1:4" ht="21.75" customHeight="1" x14ac:dyDescent="0.2">
      <c r="A252" s="195" t="s">
        <v>936</v>
      </c>
      <c r="B252" s="195" t="s">
        <v>1295</v>
      </c>
      <c r="C252" s="194">
        <v>1.0710872930906641</v>
      </c>
      <c r="D252" s="194">
        <v>13.177369873404697</v>
      </c>
    </row>
    <row r="253" spans="1:4" ht="21.75" customHeight="1" x14ac:dyDescent="0.2">
      <c r="A253" s="195" t="s">
        <v>937</v>
      </c>
      <c r="B253" s="195" t="s">
        <v>1296</v>
      </c>
      <c r="C253" s="194">
        <v>0</v>
      </c>
      <c r="D253" s="194">
        <v>0</v>
      </c>
    </row>
    <row r="254" spans="1:4" ht="21.75" customHeight="1" x14ac:dyDescent="0.2">
      <c r="A254" s="195" t="s">
        <v>938</v>
      </c>
      <c r="B254" s="195" t="s">
        <v>1296</v>
      </c>
      <c r="C254" s="194">
        <v>0</v>
      </c>
      <c r="D254" s="194">
        <v>0</v>
      </c>
    </row>
    <row r="255" spans="1:4" ht="21.75" customHeight="1" x14ac:dyDescent="0.2">
      <c r="A255" s="195" t="s">
        <v>939</v>
      </c>
      <c r="B255" s="195" t="s">
        <v>1296</v>
      </c>
      <c r="C255" s="194">
        <v>0</v>
      </c>
      <c r="D255" s="194">
        <v>0</v>
      </c>
    </row>
    <row r="256" spans="1:4" ht="21.75" customHeight="1" x14ac:dyDescent="0.2">
      <c r="A256" s="195" t="s">
        <v>940</v>
      </c>
      <c r="B256" s="195" t="s">
        <v>1296</v>
      </c>
      <c r="C256" s="194">
        <v>0</v>
      </c>
      <c r="D256" s="194">
        <v>0</v>
      </c>
    </row>
    <row r="257" spans="1:4" ht="21.75" customHeight="1" x14ac:dyDescent="0.2">
      <c r="A257" s="195" t="s">
        <v>941</v>
      </c>
      <c r="B257" s="195" t="s">
        <v>1296</v>
      </c>
      <c r="C257" s="194">
        <v>0</v>
      </c>
      <c r="D257" s="194">
        <v>0</v>
      </c>
    </row>
    <row r="258" spans="1:4" ht="21.75" customHeight="1" x14ac:dyDescent="0.2">
      <c r="A258" s="195" t="s">
        <v>942</v>
      </c>
      <c r="B258" s="195" t="s">
        <v>1296</v>
      </c>
      <c r="C258" s="194">
        <v>0</v>
      </c>
      <c r="D258" s="194">
        <v>0</v>
      </c>
    </row>
    <row r="259" spans="1:4" ht="21.75" customHeight="1" x14ac:dyDescent="0.2">
      <c r="A259" s="195" t="s">
        <v>943</v>
      </c>
      <c r="B259" s="195" t="s">
        <v>1297</v>
      </c>
      <c r="C259" s="194">
        <v>0.96843687488519326</v>
      </c>
      <c r="D259" s="194">
        <v>2.1723045926830276E-2</v>
      </c>
    </row>
    <row r="260" spans="1:4" ht="21.75" customHeight="1" x14ac:dyDescent="0.2">
      <c r="A260" s="195" t="s">
        <v>944</v>
      </c>
      <c r="B260" s="195" t="s">
        <v>1298</v>
      </c>
      <c r="C260" s="194">
        <v>0</v>
      </c>
      <c r="D260" s="194">
        <v>0</v>
      </c>
    </row>
    <row r="261" spans="1:4" ht="21.75" customHeight="1" x14ac:dyDescent="0.2">
      <c r="A261" s="195" t="s">
        <v>945</v>
      </c>
      <c r="B261" s="195" t="s">
        <v>1299</v>
      </c>
      <c r="C261" s="194">
        <v>1.6963483805546038</v>
      </c>
      <c r="D261" s="194">
        <v>2.680228543879259</v>
      </c>
    </row>
    <row r="262" spans="1:4" ht="21.75" customHeight="1" x14ac:dyDescent="0.2">
      <c r="A262" s="195" t="s">
        <v>946</v>
      </c>
      <c r="B262" s="195" t="s">
        <v>1300</v>
      </c>
      <c r="C262" s="194">
        <v>0.54195687603503995</v>
      </c>
      <c r="D262" s="194">
        <v>5.2677152157292815</v>
      </c>
    </row>
    <row r="263" spans="1:4" ht="21.75" customHeight="1" x14ac:dyDescent="0.2">
      <c r="A263" s="195" t="s">
        <v>947</v>
      </c>
      <c r="B263" s="195" t="s">
        <v>1301</v>
      </c>
      <c r="C263" s="194">
        <v>2.144870170913618</v>
      </c>
      <c r="D263" s="194">
        <v>6.6206669776296909</v>
      </c>
    </row>
    <row r="264" spans="1:4" ht="21.75" customHeight="1" x14ac:dyDescent="0.2">
      <c r="A264" s="195" t="s">
        <v>948</v>
      </c>
      <c r="B264" s="195" t="s">
        <v>1302</v>
      </c>
      <c r="C264" s="194">
        <v>-2.4154916123098111</v>
      </c>
      <c r="D264" s="194">
        <v>1.5628363184485838</v>
      </c>
    </row>
    <row r="265" spans="1:4" ht="21.75" customHeight="1" x14ac:dyDescent="0.2">
      <c r="A265" s="195" t="s">
        <v>949</v>
      </c>
      <c r="B265" s="195" t="s">
        <v>1302</v>
      </c>
      <c r="C265" s="194">
        <v>-0.50146891758531909</v>
      </c>
      <c r="D265" s="194">
        <v>2.9114767245796891</v>
      </c>
    </row>
    <row r="266" spans="1:4" ht="21.75" customHeight="1" x14ac:dyDescent="0.2">
      <c r="A266" s="195" t="s">
        <v>950</v>
      </c>
      <c r="B266" s="195" t="s">
        <v>1303</v>
      </c>
      <c r="C266" s="194">
        <v>3.8030463154863701</v>
      </c>
      <c r="D266" s="194">
        <v>1.7539850303682489</v>
      </c>
    </row>
    <row r="267" spans="1:4" ht="21.75" customHeight="1" x14ac:dyDescent="0.2">
      <c r="A267" s="195" t="s">
        <v>951</v>
      </c>
      <c r="B267" s="195" t="s">
        <v>1304</v>
      </c>
      <c r="C267" s="194">
        <v>0.2874523525141347</v>
      </c>
      <c r="D267" s="194">
        <v>0.39725228705615367</v>
      </c>
    </row>
    <row r="268" spans="1:4" ht="21.75" customHeight="1" x14ac:dyDescent="0.2">
      <c r="A268" s="195" t="s">
        <v>952</v>
      </c>
      <c r="B268" s="195" t="s">
        <v>1304</v>
      </c>
      <c r="C268" s="194">
        <v>0.2874523525141347</v>
      </c>
      <c r="D268" s="194">
        <v>0.39725228705615367</v>
      </c>
    </row>
    <row r="269" spans="1:4" ht="21.75" customHeight="1" x14ac:dyDescent="0.2">
      <c r="A269" s="195" t="s">
        <v>953</v>
      </c>
      <c r="B269" s="195" t="s">
        <v>1304</v>
      </c>
      <c r="C269" s="194">
        <v>0.2874523525141347</v>
      </c>
      <c r="D269" s="194">
        <v>0.39725228705615367</v>
      </c>
    </row>
    <row r="270" spans="1:4" ht="21.75" customHeight="1" x14ac:dyDescent="0.2">
      <c r="A270" s="195" t="s">
        <v>954</v>
      </c>
      <c r="B270" s="195" t="s">
        <v>1304</v>
      </c>
      <c r="C270" s="194">
        <v>0.2874523525141347</v>
      </c>
      <c r="D270" s="194">
        <v>0.39725228705615367</v>
      </c>
    </row>
    <row r="271" spans="1:4" ht="21.75" customHeight="1" x14ac:dyDescent="0.2">
      <c r="A271" s="195" t="s">
        <v>955</v>
      </c>
      <c r="B271" s="196" t="s">
        <v>1306</v>
      </c>
      <c r="C271" s="194">
        <v>0</v>
      </c>
      <c r="D271" s="194">
        <v>0</v>
      </c>
    </row>
    <row r="272" spans="1:4" ht="21.75" customHeight="1" x14ac:dyDescent="0.2">
      <c r="A272" s="195" t="s">
        <v>956</v>
      </c>
      <c r="B272" s="195" t="s">
        <v>1305</v>
      </c>
      <c r="C272" s="194">
        <v>0</v>
      </c>
      <c r="D272" s="194">
        <v>0</v>
      </c>
    </row>
    <row r="273" spans="1:4" ht="21.75" customHeight="1" x14ac:dyDescent="0.2">
      <c r="A273" s="195" t="s">
        <v>957</v>
      </c>
      <c r="B273" s="195" t="s">
        <v>1305</v>
      </c>
      <c r="C273" s="194">
        <v>0</v>
      </c>
      <c r="D273" s="194">
        <v>0</v>
      </c>
    </row>
    <row r="274" spans="1:4" ht="21.75" customHeight="1" x14ac:dyDescent="0.2">
      <c r="A274" s="195" t="s">
        <v>958</v>
      </c>
      <c r="B274" s="195" t="s">
        <v>1305</v>
      </c>
      <c r="C274" s="194">
        <v>0</v>
      </c>
      <c r="D274" s="194">
        <v>0</v>
      </c>
    </row>
    <row r="275" spans="1:4" ht="21.75" customHeight="1" x14ac:dyDescent="0.2">
      <c r="A275" s="195" t="s">
        <v>959</v>
      </c>
      <c r="B275" s="195" t="s">
        <v>1305</v>
      </c>
      <c r="C275" s="194">
        <v>0</v>
      </c>
      <c r="D275" s="194">
        <v>0</v>
      </c>
    </row>
    <row r="276" spans="1:4" ht="21.75" customHeight="1" x14ac:dyDescent="0.2">
      <c r="A276" s="195" t="s">
        <v>960</v>
      </c>
      <c r="B276" s="195" t="s">
        <v>1305</v>
      </c>
      <c r="C276" s="194">
        <v>0</v>
      </c>
      <c r="D276" s="194">
        <v>0</v>
      </c>
    </row>
    <row r="277" spans="1:4" ht="21.75" customHeight="1" x14ac:dyDescent="0.2">
      <c r="A277" s="195" t="s">
        <v>961</v>
      </c>
      <c r="B277" s="195" t="s">
        <v>1306</v>
      </c>
      <c r="C277" s="194">
        <v>0.33528554228257301</v>
      </c>
      <c r="D277" s="194">
        <v>3.9508956889862112E-3</v>
      </c>
    </row>
    <row r="278" spans="1:4" ht="21.75" customHeight="1" x14ac:dyDescent="0.2">
      <c r="A278" s="195" t="s">
        <v>962</v>
      </c>
      <c r="B278" s="195" t="s">
        <v>1307</v>
      </c>
      <c r="C278" s="194">
        <v>0</v>
      </c>
      <c r="D278" s="194">
        <v>4.2499251216018101E-2</v>
      </c>
    </row>
    <row r="279" spans="1:4" ht="21.75" customHeight="1" x14ac:dyDescent="0.2">
      <c r="A279" s="195" t="s">
        <v>963</v>
      </c>
      <c r="B279" s="195" t="s">
        <v>1307</v>
      </c>
      <c r="C279" s="194">
        <v>0</v>
      </c>
      <c r="D279" s="194">
        <v>0</v>
      </c>
    </row>
    <row r="280" spans="1:4" ht="21.75" customHeight="1" x14ac:dyDescent="0.2">
      <c r="A280" s="195" t="s">
        <v>964</v>
      </c>
      <c r="B280" s="195" t="s">
        <v>1305</v>
      </c>
      <c r="C280" s="194">
        <v>0</v>
      </c>
      <c r="D280" s="194">
        <v>0</v>
      </c>
    </row>
    <row r="281" spans="1:4" ht="21.75" customHeight="1" x14ac:dyDescent="0.2">
      <c r="A281" s="195" t="s">
        <v>965</v>
      </c>
      <c r="B281" s="195" t="s">
        <v>1307</v>
      </c>
      <c r="C281" s="194">
        <v>0</v>
      </c>
      <c r="D281" s="194">
        <v>0</v>
      </c>
    </row>
    <row r="282" spans="1:4" ht="21.75" customHeight="1" x14ac:dyDescent="0.2">
      <c r="A282" s="195" t="s">
        <v>966</v>
      </c>
      <c r="B282" s="195" t="s">
        <v>1305</v>
      </c>
      <c r="C282" s="194">
        <v>0</v>
      </c>
      <c r="D282" s="194">
        <v>0</v>
      </c>
    </row>
    <row r="283" spans="1:4" ht="21.75" customHeight="1" x14ac:dyDescent="0.2">
      <c r="A283" s="195" t="s">
        <v>967</v>
      </c>
      <c r="B283" s="195" t="s">
        <v>1307</v>
      </c>
      <c r="C283" s="194">
        <v>0</v>
      </c>
      <c r="D283" s="194">
        <v>0</v>
      </c>
    </row>
    <row r="284" spans="1:4" ht="21.75" customHeight="1" x14ac:dyDescent="0.2">
      <c r="A284" s="195" t="s">
        <v>968</v>
      </c>
      <c r="B284" s="195" t="s">
        <v>1305</v>
      </c>
      <c r="C284" s="194">
        <v>0</v>
      </c>
      <c r="D284" s="194">
        <v>0</v>
      </c>
    </row>
    <row r="285" spans="1:4" ht="21.75" customHeight="1" x14ac:dyDescent="0.2">
      <c r="A285" s="195" t="s">
        <v>969</v>
      </c>
      <c r="B285" s="195" t="s">
        <v>1308</v>
      </c>
      <c r="C285" s="194">
        <v>7.9966715612127199</v>
      </c>
      <c r="D285" s="194">
        <v>1.4504160128307202</v>
      </c>
    </row>
    <row r="286" spans="1:4" ht="21.75" customHeight="1" x14ac:dyDescent="0.2">
      <c r="A286" s="195" t="s">
        <v>970</v>
      </c>
      <c r="B286" s="196" t="s">
        <v>1309</v>
      </c>
      <c r="C286" s="194">
        <v>0</v>
      </c>
      <c r="D286" s="194">
        <v>0</v>
      </c>
    </row>
    <row r="287" spans="1:4" ht="21.75" customHeight="1" x14ac:dyDescent="0.2">
      <c r="A287" s="195" t="s">
        <v>971</v>
      </c>
      <c r="B287" s="195" t="s">
        <v>1309</v>
      </c>
      <c r="C287" s="194">
        <v>0.50267805503420837</v>
      </c>
      <c r="D287" s="194">
        <v>-9.0228115593592839E-2</v>
      </c>
    </row>
    <row r="288" spans="1:4" ht="21.75" customHeight="1" x14ac:dyDescent="0.2">
      <c r="A288" s="195" t="s">
        <v>972</v>
      </c>
      <c r="B288" s="195" t="s">
        <v>1310</v>
      </c>
      <c r="C288" s="194">
        <v>0.104245740230742</v>
      </c>
      <c r="D288" s="194">
        <v>1.2940580104458721</v>
      </c>
    </row>
    <row r="289" spans="1:4" ht="21.75" customHeight="1" x14ac:dyDescent="0.2">
      <c r="A289" s="195" t="s">
        <v>973</v>
      </c>
      <c r="B289" s="195" t="s">
        <v>1311</v>
      </c>
      <c r="C289" s="194">
        <v>0.29891707072427981</v>
      </c>
      <c r="D289" s="194">
        <v>3.7804217000118574</v>
      </c>
    </row>
    <row r="290" spans="1:4" ht="21.75" customHeight="1" x14ac:dyDescent="0.2">
      <c r="A290" s="195" t="s">
        <v>974</v>
      </c>
      <c r="B290" s="195" t="s">
        <v>1435</v>
      </c>
      <c r="C290" s="194">
        <v>0</v>
      </c>
      <c r="D290" s="194">
        <v>0</v>
      </c>
    </row>
    <row r="291" spans="1:4" ht="21.75" customHeight="1" x14ac:dyDescent="0.2">
      <c r="A291" s="195" t="s">
        <v>975</v>
      </c>
      <c r="B291" s="195" t="s">
        <v>1312</v>
      </c>
      <c r="C291" s="194">
        <v>1.4890401664944259</v>
      </c>
      <c r="D291" s="194">
        <v>11.512764856437276</v>
      </c>
    </row>
    <row r="292" spans="1:4" ht="21.75" customHeight="1" x14ac:dyDescent="0.2">
      <c r="A292" s="195" t="s">
        <v>976</v>
      </c>
      <c r="B292" s="195" t="s">
        <v>1313</v>
      </c>
      <c r="C292" s="194">
        <v>-0.10834973447725099</v>
      </c>
      <c r="D292" s="194">
        <v>1.2205000785651323</v>
      </c>
    </row>
    <row r="293" spans="1:4" ht="21.75" customHeight="1" x14ac:dyDescent="0.2">
      <c r="A293" s="195" t="s">
        <v>977</v>
      </c>
      <c r="B293" s="195" t="s">
        <v>1314</v>
      </c>
      <c r="C293" s="194">
        <v>1.562379966323276</v>
      </c>
      <c r="D293" s="194">
        <v>11.365773175660966</v>
      </c>
    </row>
    <row r="294" spans="1:4" ht="21.75" customHeight="1" x14ac:dyDescent="0.2">
      <c r="A294" s="195" t="s">
        <v>978</v>
      </c>
      <c r="B294" s="195" t="s">
        <v>1315</v>
      </c>
      <c r="C294" s="194">
        <v>2.18444228086355</v>
      </c>
      <c r="D294" s="194">
        <v>6.3899362048759176</v>
      </c>
    </row>
    <row r="295" spans="1:4" ht="21.75" customHeight="1" x14ac:dyDescent="0.2">
      <c r="A295" s="195" t="s">
        <v>979</v>
      </c>
      <c r="B295" s="195" t="s">
        <v>1316</v>
      </c>
      <c r="C295" s="194">
        <v>0.8102857495152479</v>
      </c>
      <c r="D295" s="194">
        <v>11.540897910230832</v>
      </c>
    </row>
    <row r="296" spans="1:4" ht="21.75" customHeight="1" x14ac:dyDescent="0.2">
      <c r="A296" s="195" t="s">
        <v>980</v>
      </c>
      <c r="B296" s="195" t="s">
        <v>1317</v>
      </c>
      <c r="C296" s="194">
        <v>0.45770768956843499</v>
      </c>
      <c r="D296" s="194">
        <v>7.3945917625750992</v>
      </c>
    </row>
    <row r="297" spans="1:4" ht="21.75" customHeight="1" x14ac:dyDescent="0.2">
      <c r="A297" s="195" t="s">
        <v>981</v>
      </c>
      <c r="B297" s="195" t="s">
        <v>1434</v>
      </c>
      <c r="C297" s="194">
        <v>0.42023895758585</v>
      </c>
      <c r="D297" s="194">
        <v>4.9454456291345705E-3</v>
      </c>
    </row>
    <row r="298" spans="1:4" ht="21.75" customHeight="1" x14ac:dyDescent="0.2">
      <c r="A298" s="195" t="s">
        <v>982</v>
      </c>
      <c r="B298" s="196" t="s">
        <v>1318</v>
      </c>
      <c r="C298" s="194">
        <v>0</v>
      </c>
      <c r="D298" s="194">
        <v>0</v>
      </c>
    </row>
    <row r="299" spans="1:4" ht="21.75" customHeight="1" x14ac:dyDescent="0.2">
      <c r="A299" s="195" t="s">
        <v>983</v>
      </c>
      <c r="B299" s="195" t="s">
        <v>1318</v>
      </c>
      <c r="C299" s="194">
        <v>1.9457096473196158</v>
      </c>
      <c r="D299" s="194">
        <v>0.14806741851399319</v>
      </c>
    </row>
    <row r="300" spans="1:4" ht="21.75" customHeight="1" x14ac:dyDescent="0.2">
      <c r="A300" s="195" t="s">
        <v>984</v>
      </c>
      <c r="B300" s="195" t="s">
        <v>1319</v>
      </c>
      <c r="C300" s="194">
        <v>1.1331842845279989</v>
      </c>
      <c r="D300" s="194">
        <v>4.2049262346831959</v>
      </c>
    </row>
    <row r="301" spans="1:4" ht="21.75" customHeight="1" x14ac:dyDescent="0.2">
      <c r="A301" s="195" t="s">
        <v>985</v>
      </c>
      <c r="B301" s="195" t="s">
        <v>1319</v>
      </c>
      <c r="C301" s="194">
        <v>0.73164404792287496</v>
      </c>
      <c r="D301" s="194">
        <v>2.6967598310198824</v>
      </c>
    </row>
    <row r="302" spans="1:4" ht="21.75" customHeight="1" x14ac:dyDescent="0.2">
      <c r="A302" s="195" t="s">
        <v>986</v>
      </c>
      <c r="B302" s="195" t="s">
        <v>1320</v>
      </c>
      <c r="C302" s="194">
        <v>0.37145753643555002</v>
      </c>
      <c r="D302" s="194">
        <v>4.3723042402700196E-3</v>
      </c>
    </row>
    <row r="303" spans="1:4" ht="21.75" customHeight="1" x14ac:dyDescent="0.2">
      <c r="A303" s="195" t="s">
        <v>987</v>
      </c>
      <c r="B303" s="195" t="s">
        <v>1320</v>
      </c>
      <c r="C303" s="194">
        <v>0.290756499694315</v>
      </c>
      <c r="D303" s="194">
        <v>3.4285963552827536E-3</v>
      </c>
    </row>
    <row r="304" spans="1:4" ht="21.75" customHeight="1" x14ac:dyDescent="0.2">
      <c r="A304" s="195" t="s">
        <v>988</v>
      </c>
      <c r="B304" s="195" t="s">
        <v>1455</v>
      </c>
      <c r="C304" s="194">
        <v>0.725395249323187</v>
      </c>
      <c r="D304" s="194">
        <v>19.966898236464313</v>
      </c>
    </row>
    <row r="305" spans="1:4" ht="21.75" customHeight="1" x14ac:dyDescent="0.2">
      <c r="A305" s="195" t="s">
        <v>989</v>
      </c>
      <c r="B305" s="195" t="s">
        <v>1321</v>
      </c>
      <c r="C305" s="194">
        <v>0.40354407227779698</v>
      </c>
      <c r="D305" s="194">
        <v>9.3121366478035643</v>
      </c>
    </row>
    <row r="306" spans="1:4" ht="21.75" customHeight="1" x14ac:dyDescent="0.2">
      <c r="A306" s="195" t="s">
        <v>990</v>
      </c>
      <c r="B306" s="196" t="s">
        <v>1322</v>
      </c>
      <c r="C306" s="194">
        <v>0</v>
      </c>
      <c r="D306" s="194">
        <v>0</v>
      </c>
    </row>
    <row r="307" spans="1:4" ht="21.75" customHeight="1" x14ac:dyDescent="0.2">
      <c r="A307" s="195" t="s">
        <v>991</v>
      </c>
      <c r="B307" s="195" t="s">
        <v>1322</v>
      </c>
      <c r="C307" s="194">
        <v>0.56478597059364577</v>
      </c>
      <c r="D307" s="194">
        <v>1.522986546350299</v>
      </c>
    </row>
    <row r="308" spans="1:4" ht="21.75" customHeight="1" x14ac:dyDescent="0.2">
      <c r="A308" s="195" t="s">
        <v>992</v>
      </c>
      <c r="B308" s="195" t="s">
        <v>1323</v>
      </c>
      <c r="C308" s="194">
        <v>0.56344221032600894</v>
      </c>
      <c r="D308" s="194">
        <v>4.798553621987363</v>
      </c>
    </row>
    <row r="309" spans="1:4" ht="21.75" customHeight="1" x14ac:dyDescent="0.2">
      <c r="A309" s="195" t="s">
        <v>993</v>
      </c>
      <c r="B309" s="196" t="s">
        <v>1324</v>
      </c>
      <c r="C309" s="194">
        <v>0</v>
      </c>
      <c r="D309" s="194">
        <v>0</v>
      </c>
    </row>
    <row r="310" spans="1:4" ht="21.75" customHeight="1" x14ac:dyDescent="0.2">
      <c r="A310" s="195" t="s">
        <v>994</v>
      </c>
      <c r="B310" s="195" t="s">
        <v>1324</v>
      </c>
      <c r="C310" s="194">
        <v>0.25816121213084614</v>
      </c>
      <c r="D310" s="194">
        <v>-8.7327743081095199E-2</v>
      </c>
    </row>
    <row r="311" spans="1:4" ht="21.75" customHeight="1" x14ac:dyDescent="0.2">
      <c r="A311" s="195" t="s">
        <v>995</v>
      </c>
      <c r="B311" s="195" t="s">
        <v>1325</v>
      </c>
      <c r="C311" s="194">
        <v>0.69507604177832005</v>
      </c>
      <c r="D311" s="194">
        <v>5.2985452755322893</v>
      </c>
    </row>
    <row r="312" spans="1:4" ht="21.75" customHeight="1" x14ac:dyDescent="0.2">
      <c r="A312" s="195" t="s">
        <v>996</v>
      </c>
      <c r="B312" s="195" t="s">
        <v>1326</v>
      </c>
      <c r="C312" s="194">
        <v>4.8912949086150299E-2</v>
      </c>
      <c r="D312" s="194">
        <v>4.8503751296940552</v>
      </c>
    </row>
    <row r="313" spans="1:4" ht="21.75" customHeight="1" x14ac:dyDescent="0.2">
      <c r="A313" s="195" t="s">
        <v>997</v>
      </c>
      <c r="B313" s="195" t="s">
        <v>1327</v>
      </c>
      <c r="C313" s="194">
        <v>0.67135559468846095</v>
      </c>
      <c r="D313" s="194">
        <v>2.3841197726442029</v>
      </c>
    </row>
    <row r="314" spans="1:4" ht="21.75" customHeight="1" x14ac:dyDescent="0.2">
      <c r="A314" s="195" t="s">
        <v>998</v>
      </c>
      <c r="B314" s="195" t="s">
        <v>1328</v>
      </c>
      <c r="C314" s="194">
        <v>2.387079730144992E-2</v>
      </c>
      <c r="D314" s="194">
        <v>7.0622820383539731</v>
      </c>
    </row>
    <row r="315" spans="1:4" ht="21.75" customHeight="1" x14ac:dyDescent="0.2">
      <c r="A315" s="195" t="s">
        <v>999</v>
      </c>
      <c r="B315" s="195" t="s">
        <v>1329</v>
      </c>
      <c r="C315" s="194">
        <v>1.3937920160925E-3</v>
      </c>
      <c r="D315" s="194">
        <v>0.36708935959505823</v>
      </c>
    </row>
    <row r="316" spans="1:4" ht="21.75" customHeight="1" x14ac:dyDescent="0.2">
      <c r="A316" s="195" t="s">
        <v>1000</v>
      </c>
      <c r="B316" s="196" t="s">
        <v>1461</v>
      </c>
      <c r="C316" s="194">
        <v>1.9013111128818688E-2</v>
      </c>
      <c r="D316" s="194">
        <v>3.7939009031969909E-2</v>
      </c>
    </row>
    <row r="317" spans="1:4" ht="21.75" customHeight="1" x14ac:dyDescent="0.2">
      <c r="A317" s="195" t="s">
        <v>1001</v>
      </c>
      <c r="B317" s="195" t="s">
        <v>1433</v>
      </c>
      <c r="C317" s="194">
        <v>0</v>
      </c>
      <c r="D317" s="194">
        <v>0</v>
      </c>
    </row>
    <row r="318" spans="1:4" ht="21.75" customHeight="1" x14ac:dyDescent="0.2">
      <c r="A318" s="195" t="s">
        <v>1002</v>
      </c>
      <c r="B318" s="195" t="s">
        <v>1330</v>
      </c>
      <c r="C318" s="194">
        <v>0.33754451465211899</v>
      </c>
      <c r="D318" s="194">
        <v>5.3807355895593449</v>
      </c>
    </row>
    <row r="319" spans="1:4" ht="21.75" customHeight="1" x14ac:dyDescent="0.2">
      <c r="A319" s="195" t="s">
        <v>1003</v>
      </c>
      <c r="B319" s="195" t="s">
        <v>1331</v>
      </c>
      <c r="C319" s="194">
        <v>0.83756767619833306</v>
      </c>
      <c r="D319" s="194">
        <v>3.2367300892612896</v>
      </c>
    </row>
    <row r="320" spans="1:4" ht="21.75" customHeight="1" x14ac:dyDescent="0.2">
      <c r="A320" s="195" t="s">
        <v>1004</v>
      </c>
      <c r="B320" s="195" t="s">
        <v>1332</v>
      </c>
      <c r="C320" s="194">
        <v>0</v>
      </c>
      <c r="D320" s="194">
        <v>0</v>
      </c>
    </row>
    <row r="321" spans="1:4" ht="21.75" customHeight="1" x14ac:dyDescent="0.2">
      <c r="A321" s="195" t="s">
        <v>1005</v>
      </c>
      <c r="B321" s="195" t="s">
        <v>1332</v>
      </c>
      <c r="C321" s="194">
        <v>0</v>
      </c>
      <c r="D321" s="194">
        <v>0</v>
      </c>
    </row>
    <row r="322" spans="1:4" ht="21.75" customHeight="1" x14ac:dyDescent="0.2">
      <c r="A322" s="195" t="s">
        <v>1006</v>
      </c>
      <c r="B322" s="195" t="s">
        <v>1333</v>
      </c>
      <c r="C322" s="194">
        <v>0.74405959004320998</v>
      </c>
      <c r="D322" s="194">
        <v>17.659293494033559</v>
      </c>
    </row>
    <row r="323" spans="1:4" ht="21.75" customHeight="1" x14ac:dyDescent="0.2">
      <c r="A323" s="195" t="s">
        <v>1007</v>
      </c>
      <c r="B323" s="195" t="s">
        <v>1334</v>
      </c>
      <c r="C323" s="194">
        <v>0.41501318915452501</v>
      </c>
      <c r="D323" s="194">
        <v>1.9070037088863736</v>
      </c>
    </row>
    <row r="324" spans="1:4" ht="21.75" customHeight="1" x14ac:dyDescent="0.2">
      <c r="A324" s="195" t="s">
        <v>1008</v>
      </c>
      <c r="B324" s="195" t="s">
        <v>1335</v>
      </c>
      <c r="C324" s="194">
        <v>8.8790506682177297E-4</v>
      </c>
      <c r="D324" s="194">
        <v>-4.1324290601278603E-2</v>
      </c>
    </row>
    <row r="325" spans="1:4" ht="21.75" customHeight="1" x14ac:dyDescent="0.2">
      <c r="A325" s="195" t="s">
        <v>1009</v>
      </c>
      <c r="B325" s="195" t="s">
        <v>1336</v>
      </c>
      <c r="C325" s="194">
        <v>0.142317859643598</v>
      </c>
      <c r="D325" s="194">
        <v>1.0157344999725901</v>
      </c>
    </row>
    <row r="326" spans="1:4" ht="21.75" customHeight="1" x14ac:dyDescent="0.2">
      <c r="A326" s="195" t="s">
        <v>1010</v>
      </c>
      <c r="B326" s="195" t="s">
        <v>1337</v>
      </c>
      <c r="C326" s="194">
        <v>1.492514159225256</v>
      </c>
      <c r="D326" s="194">
        <v>5.5229432673594747</v>
      </c>
    </row>
    <row r="327" spans="1:4" ht="21.75" customHeight="1" x14ac:dyDescent="0.2">
      <c r="A327" s="195" t="s">
        <v>1011</v>
      </c>
      <c r="B327" s="195" t="s">
        <v>1338</v>
      </c>
      <c r="C327" s="194">
        <v>2.0264130356251249</v>
      </c>
      <c r="D327" s="194">
        <v>10.247026035791119</v>
      </c>
    </row>
    <row r="328" spans="1:4" ht="21.75" customHeight="1" x14ac:dyDescent="0.2">
      <c r="A328" s="195" t="s">
        <v>1012</v>
      </c>
      <c r="B328" s="195" t="s">
        <v>1339</v>
      </c>
      <c r="C328" s="194">
        <v>0.19743000630261201</v>
      </c>
      <c r="D328" s="194">
        <v>4.3103505121485322</v>
      </c>
    </row>
    <row r="329" spans="1:4" ht="21.75" customHeight="1" x14ac:dyDescent="0.2">
      <c r="A329" s="195" t="s">
        <v>1013</v>
      </c>
      <c r="B329" s="195" t="s">
        <v>1339</v>
      </c>
      <c r="C329" s="194">
        <v>0.20499737894623901</v>
      </c>
      <c r="D329" s="194">
        <v>4.1178347443995014</v>
      </c>
    </row>
    <row r="330" spans="1:4" ht="21.75" customHeight="1" x14ac:dyDescent="0.2">
      <c r="A330" s="195" t="s">
        <v>1014</v>
      </c>
      <c r="B330" s="195" t="s">
        <v>1340</v>
      </c>
      <c r="C330" s="194">
        <v>1.9632115621775161E-2</v>
      </c>
      <c r="D330" s="194">
        <v>2.3329689075342839</v>
      </c>
    </row>
    <row r="331" spans="1:4" ht="21.75" customHeight="1" x14ac:dyDescent="0.2">
      <c r="A331" s="195" t="s">
        <v>1015</v>
      </c>
      <c r="B331" s="195" t="s">
        <v>1341</v>
      </c>
      <c r="C331" s="194">
        <v>0</v>
      </c>
      <c r="D331" s="194">
        <v>0</v>
      </c>
    </row>
    <row r="332" spans="1:4" ht="21.75" customHeight="1" x14ac:dyDescent="0.2">
      <c r="A332" s="195" t="s">
        <v>1016</v>
      </c>
      <c r="B332" s="195" t="s">
        <v>1342</v>
      </c>
      <c r="C332" s="194">
        <v>2.060531262738003E-2</v>
      </c>
      <c r="D332" s="194">
        <v>0.50686080802701428</v>
      </c>
    </row>
    <row r="333" spans="1:4" ht="21.75" customHeight="1" x14ac:dyDescent="0.2">
      <c r="A333" s="195" t="s">
        <v>1017</v>
      </c>
      <c r="B333" s="195" t="s">
        <v>1343</v>
      </c>
      <c r="C333" s="194">
        <v>0.91687101710543595</v>
      </c>
      <c r="D333" s="194">
        <v>9.1561423911314996</v>
      </c>
    </row>
    <row r="334" spans="1:4" ht="21.75" customHeight="1" x14ac:dyDescent="0.2">
      <c r="A334" s="195" t="s">
        <v>1018</v>
      </c>
      <c r="B334" s="195" t="s">
        <v>1344</v>
      </c>
      <c r="C334" s="194">
        <v>-5.6495666516252818E-2</v>
      </c>
      <c r="D334" s="194">
        <v>1.4897114502517403</v>
      </c>
    </row>
    <row r="335" spans="1:4" ht="21.75" customHeight="1" x14ac:dyDescent="0.2">
      <c r="A335" s="195" t="s">
        <v>1019</v>
      </c>
      <c r="B335" s="195" t="s">
        <v>1344</v>
      </c>
      <c r="C335" s="194">
        <v>-0.43634043453455562</v>
      </c>
      <c r="D335" s="194">
        <v>2.943234563972716</v>
      </c>
    </row>
    <row r="336" spans="1:4" ht="21.75" customHeight="1" x14ac:dyDescent="0.2">
      <c r="A336" s="195" t="s">
        <v>1020</v>
      </c>
      <c r="B336" s="195" t="s">
        <v>1345</v>
      </c>
      <c r="C336" s="194">
        <v>0.17501314510884691</v>
      </c>
      <c r="D336" s="194">
        <v>0.49957063228637388</v>
      </c>
    </row>
    <row r="337" spans="1:4" ht="21.75" customHeight="1" x14ac:dyDescent="0.2">
      <c r="A337" s="195" t="s">
        <v>1021</v>
      </c>
      <c r="B337" s="195" t="s">
        <v>1346</v>
      </c>
      <c r="C337" s="194">
        <v>0.75960229571648497</v>
      </c>
      <c r="D337" s="194">
        <v>5.4236732960898806</v>
      </c>
    </row>
    <row r="338" spans="1:4" ht="21.75" customHeight="1" x14ac:dyDescent="0.2">
      <c r="A338" s="195" t="s">
        <v>1022</v>
      </c>
      <c r="B338" s="195" t="s">
        <v>1346</v>
      </c>
      <c r="C338" s="194">
        <v>0.32407714737183602</v>
      </c>
      <c r="D338" s="194">
        <v>4.3293884298454302</v>
      </c>
    </row>
    <row r="339" spans="1:4" ht="21.75" customHeight="1" x14ac:dyDescent="0.2">
      <c r="A339" s="195" t="s">
        <v>1023</v>
      </c>
      <c r="B339" s="195" t="s">
        <v>1347</v>
      </c>
      <c r="C339" s="194">
        <v>0</v>
      </c>
      <c r="D339" s="194">
        <v>0</v>
      </c>
    </row>
    <row r="340" spans="1:4" ht="21.75" customHeight="1" x14ac:dyDescent="0.2">
      <c r="A340" s="195" t="s">
        <v>1024</v>
      </c>
      <c r="B340" s="195" t="s">
        <v>1348</v>
      </c>
      <c r="C340" s="194">
        <v>0.46117906226165689</v>
      </c>
      <c r="D340" s="194">
        <v>2.9095781778772838</v>
      </c>
    </row>
    <row r="341" spans="1:4" ht="21.75" customHeight="1" x14ac:dyDescent="0.2">
      <c r="A341" s="195" t="s">
        <v>1025</v>
      </c>
      <c r="B341" s="195" t="s">
        <v>1349</v>
      </c>
      <c r="C341" s="194">
        <v>8.0049631727000164E-2</v>
      </c>
      <c r="D341" s="194">
        <v>5.1305374190376583</v>
      </c>
    </row>
    <row r="342" spans="1:4" ht="21.75" customHeight="1" x14ac:dyDescent="0.2">
      <c r="A342" s="195" t="s">
        <v>1026</v>
      </c>
      <c r="B342" s="195" t="s">
        <v>1349</v>
      </c>
      <c r="C342" s="194">
        <v>0</v>
      </c>
      <c r="D342" s="194">
        <v>0</v>
      </c>
    </row>
    <row r="343" spans="1:4" ht="21.75" customHeight="1" x14ac:dyDescent="0.2">
      <c r="A343" s="195" t="s">
        <v>1027</v>
      </c>
      <c r="B343" s="195" t="s">
        <v>1350</v>
      </c>
      <c r="C343" s="194">
        <v>1.4983700623628</v>
      </c>
      <c r="D343" s="194">
        <v>5.1679096394289621</v>
      </c>
    </row>
    <row r="344" spans="1:4" ht="21.75" customHeight="1" x14ac:dyDescent="0.2">
      <c r="A344" s="195" t="s">
        <v>1028</v>
      </c>
      <c r="B344" s="195" t="s">
        <v>1351</v>
      </c>
      <c r="C344" s="194">
        <v>0.60868317702404295</v>
      </c>
      <c r="D344" s="194">
        <v>5.9898512416170817</v>
      </c>
    </row>
    <row r="345" spans="1:4" ht="21.75" customHeight="1" x14ac:dyDescent="0.2">
      <c r="A345" s="195" t="s">
        <v>1029</v>
      </c>
      <c r="B345" s="195" t="s">
        <v>1352</v>
      </c>
      <c r="C345" s="194">
        <v>1.996408066968147</v>
      </c>
      <c r="D345" s="194">
        <v>0.67668146286192177</v>
      </c>
    </row>
    <row r="346" spans="1:4" ht="21.75" customHeight="1" x14ac:dyDescent="0.2">
      <c r="A346" s="195" t="s">
        <v>1030</v>
      </c>
      <c r="B346" s="195" t="s">
        <v>1353</v>
      </c>
      <c r="C346" s="194">
        <v>0.45011560782199</v>
      </c>
      <c r="D346" s="194">
        <v>4.800985058711877</v>
      </c>
    </row>
    <row r="347" spans="1:4" ht="21.75" customHeight="1" x14ac:dyDescent="0.2">
      <c r="A347" s="195" t="s">
        <v>1031</v>
      </c>
      <c r="B347" s="195" t="s">
        <v>1354</v>
      </c>
      <c r="C347" s="194">
        <v>7.9111033524326899E-2</v>
      </c>
      <c r="D347" s="194">
        <v>1.890600616084547</v>
      </c>
    </row>
    <row r="348" spans="1:4" ht="21.75" customHeight="1" x14ac:dyDescent="0.2">
      <c r="A348" s="195" t="s">
        <v>1032</v>
      </c>
      <c r="B348" s="195" t="s">
        <v>1355</v>
      </c>
      <c r="C348" s="194">
        <v>0.10640821392590499</v>
      </c>
      <c r="D348" s="194">
        <v>0.79565820170085333</v>
      </c>
    </row>
    <row r="349" spans="1:4" ht="21.75" customHeight="1" x14ac:dyDescent="0.2">
      <c r="A349" s="195" t="s">
        <v>1033</v>
      </c>
      <c r="B349" s="195" t="s">
        <v>1356</v>
      </c>
      <c r="C349" s="194">
        <v>0.49351925504310501</v>
      </c>
      <c r="D349" s="194">
        <v>10.360001388883051</v>
      </c>
    </row>
    <row r="350" spans="1:4" ht="21.75" customHeight="1" x14ac:dyDescent="0.2">
      <c r="A350" s="195" t="s">
        <v>1034</v>
      </c>
      <c r="B350" s="195" t="s">
        <v>1432</v>
      </c>
      <c r="C350" s="194">
        <v>0.53843940636678789</v>
      </c>
      <c r="D350" s="194">
        <v>6.786386000328215E-2</v>
      </c>
    </row>
    <row r="351" spans="1:4" ht="21.75" customHeight="1" x14ac:dyDescent="0.2">
      <c r="A351" s="195" t="s">
        <v>1035</v>
      </c>
      <c r="B351" s="195" t="s">
        <v>1357</v>
      </c>
      <c r="C351" s="194">
        <v>0.11197770231486801</v>
      </c>
      <c r="D351" s="194">
        <v>1.5654055039386645</v>
      </c>
    </row>
    <row r="352" spans="1:4" ht="21.75" customHeight="1" x14ac:dyDescent="0.2">
      <c r="A352" s="195" t="s">
        <v>1036</v>
      </c>
      <c r="B352" s="195" t="s">
        <v>1358</v>
      </c>
      <c r="C352" s="194">
        <v>7.2733629420105875E-2</v>
      </c>
      <c r="D352" s="194">
        <v>1.7448931536361012E-3</v>
      </c>
    </row>
    <row r="353" spans="1:4" ht="21.75" customHeight="1" x14ac:dyDescent="0.2">
      <c r="A353" s="195" t="s">
        <v>1037</v>
      </c>
      <c r="B353" s="195" t="s">
        <v>1359</v>
      </c>
      <c r="C353" s="194">
        <v>1.297770265475171</v>
      </c>
      <c r="D353" s="194">
        <v>7.1788872087126165</v>
      </c>
    </row>
    <row r="354" spans="1:4" ht="21.75" customHeight="1" x14ac:dyDescent="0.2">
      <c r="A354" s="195" t="s">
        <v>1038</v>
      </c>
      <c r="B354" s="195" t="s">
        <v>1360</v>
      </c>
      <c r="C354" s="194">
        <v>0.1738554499345803</v>
      </c>
      <c r="D354" s="194">
        <v>-4.6021672824409998E-2</v>
      </c>
    </row>
    <row r="355" spans="1:4" ht="21.75" customHeight="1" x14ac:dyDescent="0.2">
      <c r="A355" s="195" t="s">
        <v>1039</v>
      </c>
      <c r="B355" s="195" t="s">
        <v>1361</v>
      </c>
      <c r="C355" s="194">
        <v>0</v>
      </c>
      <c r="D355" s="194">
        <v>0</v>
      </c>
    </row>
    <row r="356" spans="1:4" ht="21.75" customHeight="1" x14ac:dyDescent="0.2">
      <c r="A356" s="195" t="s">
        <v>1040</v>
      </c>
      <c r="B356" s="195" t="s">
        <v>1361</v>
      </c>
      <c r="C356" s="194">
        <v>0.76609293324884509</v>
      </c>
      <c r="D356" s="194">
        <v>5.2569352043625006E-2</v>
      </c>
    </row>
    <row r="357" spans="1:4" ht="21.75" customHeight="1" x14ac:dyDescent="0.2">
      <c r="A357" s="195" t="s">
        <v>1041</v>
      </c>
      <c r="B357" s="195" t="s">
        <v>1362</v>
      </c>
      <c r="C357" s="194">
        <v>2.1259856994608546</v>
      </c>
      <c r="D357" s="194">
        <v>15.954480417800216</v>
      </c>
    </row>
    <row r="358" spans="1:4" ht="21.75" customHeight="1" x14ac:dyDescent="0.2">
      <c r="A358" s="195" t="s">
        <v>1042</v>
      </c>
      <c r="B358" s="195" t="s">
        <v>1363</v>
      </c>
      <c r="C358" s="194">
        <v>1.866373796027879</v>
      </c>
      <c r="D358" s="194">
        <v>14.386196967951733</v>
      </c>
    </row>
    <row r="359" spans="1:4" ht="21.75" customHeight="1" x14ac:dyDescent="0.2">
      <c r="A359" s="195" t="s">
        <v>1043</v>
      </c>
      <c r="B359" s="195" t="s">
        <v>1364</v>
      </c>
      <c r="C359" s="194">
        <v>0.78169187238986804</v>
      </c>
      <c r="D359" s="194">
        <v>2.1778698874979403</v>
      </c>
    </row>
    <row r="360" spans="1:4" ht="21.75" customHeight="1" x14ac:dyDescent="0.2">
      <c r="A360" s="195" t="s">
        <v>1044</v>
      </c>
      <c r="B360" s="195" t="s">
        <v>1365</v>
      </c>
      <c r="C360" s="194">
        <v>0</v>
      </c>
      <c r="D360" s="194">
        <v>0</v>
      </c>
    </row>
    <row r="361" spans="1:4" ht="21.75" customHeight="1" x14ac:dyDescent="0.2">
      <c r="A361" s="195" t="s">
        <v>1045</v>
      </c>
      <c r="B361" s="195" t="s">
        <v>1366</v>
      </c>
      <c r="C361" s="194">
        <v>1.2848777759684609</v>
      </c>
      <c r="D361" s="194">
        <v>5.6189303095548313</v>
      </c>
    </row>
    <row r="362" spans="1:4" ht="21.75" customHeight="1" x14ac:dyDescent="0.2">
      <c r="A362" s="195" t="s">
        <v>1046</v>
      </c>
      <c r="B362" s="195" t="s">
        <v>1367</v>
      </c>
      <c r="C362" s="194">
        <v>1.4142808227239521</v>
      </c>
      <c r="D362" s="194">
        <v>4.3682826775556878</v>
      </c>
    </row>
    <row r="363" spans="1:4" ht="21.75" customHeight="1" x14ac:dyDescent="0.2">
      <c r="A363" s="195" t="s">
        <v>1047</v>
      </c>
      <c r="B363" s="195" t="s">
        <v>1368</v>
      </c>
      <c r="C363" s="194">
        <v>0.42866369730470499</v>
      </c>
      <c r="D363" s="194">
        <v>5.0443771555694905E-3</v>
      </c>
    </row>
    <row r="364" spans="1:4" ht="21.75" customHeight="1" x14ac:dyDescent="0.2">
      <c r="A364" s="195" t="s">
        <v>1048</v>
      </c>
      <c r="B364" s="195" t="s">
        <v>1368</v>
      </c>
      <c r="C364" s="194">
        <v>0.42866369730470499</v>
      </c>
      <c r="D364" s="194">
        <v>5.0443771555694905E-3</v>
      </c>
    </row>
    <row r="365" spans="1:4" ht="21.75" customHeight="1" x14ac:dyDescent="0.2">
      <c r="A365" s="195" t="s">
        <v>1049</v>
      </c>
      <c r="B365" s="195" t="s">
        <v>1369</v>
      </c>
      <c r="C365" s="194">
        <v>9.9992389728416439E-2</v>
      </c>
      <c r="D365" s="194">
        <v>0.89646849633650738</v>
      </c>
    </row>
    <row r="366" spans="1:4" ht="21.75" customHeight="1" x14ac:dyDescent="0.2">
      <c r="A366" s="195" t="s">
        <v>1050</v>
      </c>
      <c r="B366" s="195" t="s">
        <v>1456</v>
      </c>
      <c r="C366" s="194">
        <v>1.8528469397107838</v>
      </c>
      <c r="D366" s="194">
        <v>3.1967681167765245</v>
      </c>
    </row>
    <row r="367" spans="1:4" ht="21.75" customHeight="1" x14ac:dyDescent="0.2">
      <c r="A367" s="195" t="s">
        <v>1051</v>
      </c>
      <c r="B367" s="195" t="s">
        <v>1370</v>
      </c>
      <c r="C367" s="194">
        <v>0.10857640099336212</v>
      </c>
      <c r="D367" s="194">
        <v>3.589724988230973</v>
      </c>
    </row>
    <row r="368" spans="1:4" ht="21.75" customHeight="1" x14ac:dyDescent="0.2">
      <c r="A368" s="195" t="s">
        <v>1052</v>
      </c>
      <c r="B368" s="195" t="s">
        <v>1371</v>
      </c>
      <c r="C368" s="194">
        <v>3.56992975483241</v>
      </c>
      <c r="D368" s="194">
        <v>0.60995729047986735</v>
      </c>
    </row>
    <row r="369" spans="1:4" ht="21.75" customHeight="1" x14ac:dyDescent="0.2">
      <c r="A369" s="195" t="s">
        <v>1053</v>
      </c>
      <c r="B369" s="195" t="s">
        <v>1372</v>
      </c>
      <c r="C369" s="194">
        <v>1.2934175951150668</v>
      </c>
      <c r="D369" s="194">
        <v>8.4835385463470505</v>
      </c>
    </row>
    <row r="370" spans="1:4" ht="21.75" customHeight="1" x14ac:dyDescent="0.2">
      <c r="A370" s="195" t="s">
        <v>1054</v>
      </c>
      <c r="B370" s="195" t="s">
        <v>1373</v>
      </c>
      <c r="C370" s="194">
        <v>0.120761374528252</v>
      </c>
      <c r="D370" s="194">
        <v>6.352436484793035</v>
      </c>
    </row>
    <row r="371" spans="1:4" ht="21.75" customHeight="1" x14ac:dyDescent="0.2">
      <c r="A371" s="195" t="s">
        <v>1055</v>
      </c>
      <c r="B371" s="195" t="s">
        <v>1373</v>
      </c>
      <c r="C371" s="194">
        <v>0.12243659283619</v>
      </c>
      <c r="D371" s="194">
        <v>6.3944141862735346</v>
      </c>
    </row>
    <row r="372" spans="1:4" ht="21.75" customHeight="1" x14ac:dyDescent="0.2">
      <c r="A372" s="195" t="s">
        <v>1056</v>
      </c>
      <c r="B372" s="195" t="s">
        <v>1374</v>
      </c>
      <c r="C372" s="194">
        <v>0.21915646874749667</v>
      </c>
      <c r="D372" s="194">
        <v>0.84199213503736736</v>
      </c>
    </row>
    <row r="373" spans="1:4" ht="21.75" customHeight="1" x14ac:dyDescent="0.2">
      <c r="A373" s="195" t="s">
        <v>1057</v>
      </c>
      <c r="B373" s="195" t="s">
        <v>1374</v>
      </c>
      <c r="C373" s="194">
        <v>0.22164507048013243</v>
      </c>
      <c r="D373" s="194">
        <v>2.5182073351808034</v>
      </c>
    </row>
    <row r="374" spans="1:4" ht="21.75" customHeight="1" x14ac:dyDescent="0.2">
      <c r="A374" s="195" t="s">
        <v>1058</v>
      </c>
      <c r="B374" s="195" t="s">
        <v>1375</v>
      </c>
      <c r="C374" s="194">
        <v>5.0522180604670598E-2</v>
      </c>
      <c r="D374" s="194">
        <v>0.81898657116135465</v>
      </c>
    </row>
    <row r="375" spans="1:4" ht="21.75" customHeight="1" x14ac:dyDescent="0.2">
      <c r="A375" s="195" t="s">
        <v>1059</v>
      </c>
      <c r="B375" s="195" t="s">
        <v>1375</v>
      </c>
      <c r="C375" s="194">
        <v>5.0521275603891302E-2</v>
      </c>
      <c r="D375" s="194">
        <v>0.81930045991642142</v>
      </c>
    </row>
    <row r="376" spans="1:4" ht="21.75" customHeight="1" x14ac:dyDescent="0.2">
      <c r="A376" s="195" t="s">
        <v>1060</v>
      </c>
      <c r="B376" s="195" t="s">
        <v>1376</v>
      </c>
      <c r="C376" s="194">
        <v>6.1921113108246599E-2</v>
      </c>
      <c r="D376" s="194">
        <v>4.2997117535501932</v>
      </c>
    </row>
    <row r="377" spans="1:4" ht="21.75" customHeight="1" x14ac:dyDescent="0.2">
      <c r="A377" s="195" t="s">
        <v>1061</v>
      </c>
      <c r="B377" s="195" t="s">
        <v>1377</v>
      </c>
      <c r="C377" s="194">
        <v>0</v>
      </c>
      <c r="D377" s="194">
        <v>0</v>
      </c>
    </row>
    <row r="378" spans="1:4" ht="21.75" customHeight="1" x14ac:dyDescent="0.2">
      <c r="A378" s="195" t="s">
        <v>1062</v>
      </c>
      <c r="B378" s="195" t="s">
        <v>1378</v>
      </c>
      <c r="C378" s="194">
        <v>0</v>
      </c>
      <c r="D378" s="194">
        <v>0</v>
      </c>
    </row>
    <row r="379" spans="1:4" ht="21.75" customHeight="1" x14ac:dyDescent="0.2">
      <c r="A379" s="195" t="s">
        <v>1063</v>
      </c>
      <c r="B379" s="195" t="s">
        <v>1379</v>
      </c>
      <c r="C379" s="194">
        <v>8.9514175738016288E-2</v>
      </c>
      <c r="D379" s="194">
        <v>0.22757380094256652</v>
      </c>
    </row>
    <row r="380" spans="1:4" ht="21.75" customHeight="1" x14ac:dyDescent="0.2">
      <c r="A380" s="195" t="s">
        <v>1064</v>
      </c>
      <c r="B380" s="195" t="s">
        <v>1380</v>
      </c>
      <c r="C380" s="194">
        <v>0.87426743194430101</v>
      </c>
      <c r="D380" s="194">
        <v>6.187941597254822</v>
      </c>
    </row>
    <row r="381" spans="1:4" ht="21.75" customHeight="1" x14ac:dyDescent="0.2">
      <c r="A381" s="195" t="s">
        <v>1065</v>
      </c>
      <c r="B381" s="195" t="s">
        <v>1381</v>
      </c>
      <c r="C381" s="194">
        <v>-6.6289737299205204E-2</v>
      </c>
      <c r="D381" s="194">
        <v>3.3276995788869801</v>
      </c>
    </row>
    <row r="382" spans="1:4" ht="21.75" customHeight="1" x14ac:dyDescent="0.2">
      <c r="A382" s="195" t="s">
        <v>1066</v>
      </c>
      <c r="B382" s="195" t="s">
        <v>1382</v>
      </c>
      <c r="C382" s="194">
        <v>2.7850339109879601E-3</v>
      </c>
      <c r="D382" s="194">
        <v>0.455256335460548</v>
      </c>
    </row>
    <row r="383" spans="1:4" ht="21.75" customHeight="1" x14ac:dyDescent="0.2">
      <c r="A383" s="195" t="s">
        <v>1067</v>
      </c>
      <c r="B383" s="195" t="s">
        <v>1383</v>
      </c>
      <c r="C383" s="194">
        <v>0.14639320162416192</v>
      </c>
      <c r="D383" s="194">
        <v>1.2596766778504902</v>
      </c>
    </row>
    <row r="384" spans="1:4" ht="21.75" customHeight="1" x14ac:dyDescent="0.2">
      <c r="A384" s="195" t="s">
        <v>1068</v>
      </c>
      <c r="B384" s="195" t="s">
        <v>1384</v>
      </c>
      <c r="C384" s="194">
        <v>0.16207219057681221</v>
      </c>
      <c r="D384" s="194">
        <v>8.7069528493496176</v>
      </c>
    </row>
    <row r="385" spans="1:4" ht="21.75" customHeight="1" x14ac:dyDescent="0.2">
      <c r="A385" s="195" t="s">
        <v>1069</v>
      </c>
      <c r="B385" s="195" t="s">
        <v>1385</v>
      </c>
      <c r="C385" s="194">
        <v>0</v>
      </c>
      <c r="D385" s="194">
        <v>0</v>
      </c>
    </row>
    <row r="386" spans="1:4" ht="21.75" customHeight="1" x14ac:dyDescent="0.2">
      <c r="A386" s="195" t="s">
        <v>1070</v>
      </c>
      <c r="B386" s="195" t="s">
        <v>1386</v>
      </c>
      <c r="C386" s="194">
        <v>0.37677614463807402</v>
      </c>
      <c r="D386" s="194">
        <v>1.6242482899747857</v>
      </c>
    </row>
    <row r="387" spans="1:4" ht="21.75" customHeight="1" x14ac:dyDescent="0.2">
      <c r="A387" s="195" t="s">
        <v>1071</v>
      </c>
      <c r="B387" s="195" t="s">
        <v>1387</v>
      </c>
      <c r="C387" s="194">
        <v>1.488080437469903</v>
      </c>
      <c r="D387" s="194">
        <v>21.816565820305026</v>
      </c>
    </row>
    <row r="388" spans="1:4" ht="21.75" customHeight="1" x14ac:dyDescent="0.2">
      <c r="A388" s="195" t="s">
        <v>1072</v>
      </c>
      <c r="B388" s="195" t="s">
        <v>1388</v>
      </c>
      <c r="C388" s="194">
        <v>0.14632750550451801</v>
      </c>
      <c r="D388" s="194">
        <v>12.003985390113398</v>
      </c>
    </row>
    <row r="389" spans="1:4" ht="21.75" customHeight="1" x14ac:dyDescent="0.2">
      <c r="A389" s="195" t="s">
        <v>1073</v>
      </c>
      <c r="B389" s="195" t="s">
        <v>1389</v>
      </c>
      <c r="C389" s="194">
        <v>0</v>
      </c>
      <c r="D389" s="194">
        <v>2.6560195853532065</v>
      </c>
    </row>
    <row r="390" spans="1:4" ht="21.75" customHeight="1" x14ac:dyDescent="0.2">
      <c r="A390" s="195" t="s">
        <v>1074</v>
      </c>
      <c r="B390" s="195" t="s">
        <v>1389</v>
      </c>
      <c r="C390" s="194">
        <v>1.7106535370067522</v>
      </c>
      <c r="D390" s="194">
        <v>2.9667980550247521</v>
      </c>
    </row>
    <row r="391" spans="1:4" ht="21.75" customHeight="1" x14ac:dyDescent="0.2">
      <c r="A391" s="195" t="s">
        <v>1075</v>
      </c>
      <c r="B391" s="195" t="s">
        <v>1390</v>
      </c>
      <c r="C391" s="194">
        <v>1.7105143138416601</v>
      </c>
      <c r="D391" s="194">
        <v>2.9667482208610112</v>
      </c>
    </row>
    <row r="392" spans="1:4" ht="21.75" customHeight="1" x14ac:dyDescent="0.2">
      <c r="A392" s="195" t="s">
        <v>1076</v>
      </c>
      <c r="B392" s="195" t="s">
        <v>1391</v>
      </c>
      <c r="C392" s="194">
        <v>3.6623212788644201E-2</v>
      </c>
      <c r="D392" s="194">
        <v>1.9592259720297633</v>
      </c>
    </row>
    <row r="393" spans="1:4" ht="21.75" customHeight="1" x14ac:dyDescent="0.2">
      <c r="A393" s="195" t="s">
        <v>1077</v>
      </c>
      <c r="B393" s="195" t="s">
        <v>1392</v>
      </c>
      <c r="C393" s="194">
        <v>0.25193728452621578</v>
      </c>
      <c r="D393" s="194">
        <v>2.6596103051583424</v>
      </c>
    </row>
    <row r="394" spans="1:4" ht="21.75" customHeight="1" x14ac:dyDescent="0.2">
      <c r="A394" s="195" t="s">
        <v>1078</v>
      </c>
      <c r="B394" s="195" t="s">
        <v>1393</v>
      </c>
      <c r="C394" s="194">
        <v>0.20732950207995099</v>
      </c>
      <c r="D394" s="194">
        <v>1.5659614291232899</v>
      </c>
    </row>
    <row r="395" spans="1:4" ht="21.75" customHeight="1" x14ac:dyDescent="0.2">
      <c r="A395" s="195" t="s">
        <v>1079</v>
      </c>
      <c r="B395" s="195" t="s">
        <v>1393</v>
      </c>
      <c r="C395" s="194">
        <v>0.20731274158691301</v>
      </c>
      <c r="D395" s="194">
        <v>1.5677128899972153</v>
      </c>
    </row>
    <row r="396" spans="1:4" ht="21.75" customHeight="1" x14ac:dyDescent="0.2">
      <c r="A396" s="195" t="s">
        <v>1080</v>
      </c>
      <c r="B396" s="195" t="s">
        <v>1394</v>
      </c>
      <c r="C396" s="194">
        <v>0.84923701674996399</v>
      </c>
      <c r="D396" s="194">
        <v>14.190462215750097</v>
      </c>
    </row>
    <row r="397" spans="1:4" ht="21.75" customHeight="1" x14ac:dyDescent="0.2">
      <c r="A397" s="195" t="s">
        <v>1081</v>
      </c>
      <c r="B397" s="195" t="s">
        <v>1395</v>
      </c>
      <c r="C397" s="194">
        <v>0.90498134809144704</v>
      </c>
      <c r="D397" s="194">
        <v>8.439733101949292</v>
      </c>
    </row>
    <row r="398" spans="1:4" ht="21.75" customHeight="1" x14ac:dyDescent="0.2">
      <c r="A398" s="195" t="s">
        <v>1082</v>
      </c>
      <c r="B398" s="195" t="s">
        <v>1223</v>
      </c>
      <c r="C398" s="194">
        <v>0.92295701010252018</v>
      </c>
      <c r="D398" s="194">
        <v>1.8609118446370931</v>
      </c>
    </row>
    <row r="399" spans="1:4" ht="21.75" customHeight="1" x14ac:dyDescent="0.2">
      <c r="A399" s="195" t="s">
        <v>1083</v>
      </c>
      <c r="B399" s="195" t="s">
        <v>1223</v>
      </c>
      <c r="C399" s="194">
        <v>0.92295701010252018</v>
      </c>
      <c r="D399" s="194">
        <v>1.8609118446370931</v>
      </c>
    </row>
    <row r="400" spans="1:4" ht="21.75" customHeight="1" x14ac:dyDescent="0.2">
      <c r="A400" s="195" t="s">
        <v>1084</v>
      </c>
      <c r="B400" s="195" t="s">
        <v>1223</v>
      </c>
      <c r="C400" s="194">
        <v>0.92295701010252018</v>
      </c>
      <c r="D400" s="194">
        <v>1.8609118446370931</v>
      </c>
    </row>
    <row r="401" spans="1:4" ht="21.75" customHeight="1" x14ac:dyDescent="0.2">
      <c r="A401" s="195" t="s">
        <v>1085</v>
      </c>
      <c r="B401" s="195" t="s">
        <v>1396</v>
      </c>
      <c r="C401" s="194">
        <v>0.76334830899248107</v>
      </c>
      <c r="D401" s="194">
        <v>6.0620844247212382</v>
      </c>
    </row>
    <row r="402" spans="1:4" ht="21.75" customHeight="1" x14ac:dyDescent="0.2">
      <c r="A402" s="195" t="s">
        <v>1086</v>
      </c>
      <c r="B402" s="195" t="s">
        <v>1397</v>
      </c>
      <c r="C402" s="194">
        <v>0.56685511433367797</v>
      </c>
      <c r="D402" s="194">
        <v>19.664631786694201</v>
      </c>
    </row>
    <row r="403" spans="1:4" ht="21.75" customHeight="1" x14ac:dyDescent="0.2">
      <c r="A403" s="195" t="s">
        <v>1087</v>
      </c>
      <c r="B403" s="195" t="s">
        <v>1431</v>
      </c>
      <c r="C403" s="194">
        <v>0.70015827626309834</v>
      </c>
      <c r="D403" s="194">
        <v>-5.7019354037026737E-3</v>
      </c>
    </row>
    <row r="404" spans="1:4" ht="21.75" customHeight="1" x14ac:dyDescent="0.2">
      <c r="A404" s="195" t="s">
        <v>1088</v>
      </c>
      <c r="B404" s="195" t="s">
        <v>1398</v>
      </c>
      <c r="C404" s="194">
        <v>3.5587452076368002</v>
      </c>
      <c r="D404" s="194">
        <v>3.3318347259319783</v>
      </c>
    </row>
    <row r="405" spans="1:4" ht="21.75" customHeight="1" x14ac:dyDescent="0.2">
      <c r="A405" s="195" t="s">
        <v>1089</v>
      </c>
      <c r="B405" s="195" t="s">
        <v>1399</v>
      </c>
      <c r="C405" s="194">
        <v>1.3055018169335506</v>
      </c>
      <c r="D405" s="194">
        <v>1.8874087200829393</v>
      </c>
    </row>
    <row r="406" spans="1:4" ht="21.75" customHeight="1" x14ac:dyDescent="0.2">
      <c r="A406" s="195" t="s">
        <v>1090</v>
      </c>
      <c r="B406" s="195" t="s">
        <v>1399</v>
      </c>
      <c r="C406" s="194">
        <v>1.3055018169335506</v>
      </c>
      <c r="D406" s="194">
        <v>1.8874087200829393</v>
      </c>
    </row>
    <row r="407" spans="1:4" ht="21.75" customHeight="1" x14ac:dyDescent="0.2">
      <c r="A407" s="195" t="s">
        <v>1091</v>
      </c>
      <c r="B407" s="195" t="s">
        <v>1400</v>
      </c>
      <c r="C407" s="194">
        <v>0.45666705296749283</v>
      </c>
      <c r="D407" s="194">
        <v>4.8552695281545544E-2</v>
      </c>
    </row>
    <row r="408" spans="1:4" ht="21.75" customHeight="1" x14ac:dyDescent="0.2">
      <c r="A408" s="195" t="s">
        <v>1092</v>
      </c>
      <c r="B408" s="195" t="s">
        <v>1400</v>
      </c>
      <c r="C408" s="194">
        <v>0.43876744419678126</v>
      </c>
      <c r="D408" s="194">
        <v>3.1217508293850893E-2</v>
      </c>
    </row>
    <row r="409" spans="1:4" ht="21.75" customHeight="1" x14ac:dyDescent="0.2">
      <c r="A409" s="195" t="s">
        <v>1093</v>
      </c>
      <c r="B409" s="195" t="s">
        <v>1401</v>
      </c>
      <c r="C409" s="194">
        <v>0.43279539992864369</v>
      </c>
      <c r="D409" s="194">
        <v>7.6184874507892602</v>
      </c>
    </row>
    <row r="410" spans="1:4" ht="21.75" customHeight="1" x14ac:dyDescent="0.2">
      <c r="A410" s="195" t="s">
        <v>1094</v>
      </c>
      <c r="B410" s="195" t="s">
        <v>1457</v>
      </c>
      <c r="C410" s="194">
        <v>0</v>
      </c>
      <c r="D410" s="194">
        <v>0</v>
      </c>
    </row>
    <row r="411" spans="1:4" ht="21.75" customHeight="1" x14ac:dyDescent="0.2">
      <c r="A411" s="195" t="s">
        <v>1095</v>
      </c>
      <c r="B411" s="195" t="s">
        <v>1402</v>
      </c>
      <c r="C411" s="194">
        <v>0</v>
      </c>
      <c r="D411" s="194">
        <v>0</v>
      </c>
    </row>
    <row r="412" spans="1:4" ht="21.75" customHeight="1" x14ac:dyDescent="0.2">
      <c r="A412" s="195" t="s">
        <v>1096</v>
      </c>
      <c r="B412" s="195" t="s">
        <v>1402</v>
      </c>
      <c r="C412" s="194">
        <v>0.17814360088946787</v>
      </c>
      <c r="D412" s="194">
        <v>7.4504216724808519</v>
      </c>
    </row>
    <row r="413" spans="1:4" ht="21.75" customHeight="1" x14ac:dyDescent="0.2">
      <c r="A413" s="195" t="s">
        <v>1097</v>
      </c>
      <c r="B413" s="195" t="s">
        <v>1403</v>
      </c>
      <c r="C413" s="194">
        <v>0</v>
      </c>
      <c r="D413" s="194">
        <v>9.0972504114712507</v>
      </c>
    </row>
    <row r="414" spans="1:4" ht="21.75" customHeight="1" x14ac:dyDescent="0.2">
      <c r="A414" s="195" t="s">
        <v>1098</v>
      </c>
      <c r="B414" s="195" t="s">
        <v>1459</v>
      </c>
      <c r="C414" s="194">
        <v>5.3472474829940104</v>
      </c>
      <c r="D414" s="194">
        <v>1.8504613573199622</v>
      </c>
    </row>
    <row r="415" spans="1:4" ht="21.75" customHeight="1" x14ac:dyDescent="0.2">
      <c r="A415" s="195" t="s">
        <v>1099</v>
      </c>
      <c r="B415" s="195" t="s">
        <v>1458</v>
      </c>
      <c r="C415" s="194">
        <v>1.2175775207069859</v>
      </c>
      <c r="D415" s="194">
        <v>1.6804257245200969</v>
      </c>
    </row>
    <row r="416" spans="1:4" ht="21.75" customHeight="1" x14ac:dyDescent="0.2">
      <c r="A416" s="195" t="s">
        <v>1100</v>
      </c>
      <c r="B416" s="195" t="s">
        <v>1404</v>
      </c>
      <c r="C416" s="194">
        <v>0</v>
      </c>
      <c r="D416" s="194">
        <v>0</v>
      </c>
    </row>
    <row r="417" spans="1:4" ht="21.75" customHeight="1" x14ac:dyDescent="0.2">
      <c r="A417" s="195" t="s">
        <v>1101</v>
      </c>
      <c r="B417" s="195" t="s">
        <v>1405</v>
      </c>
      <c r="C417" s="194">
        <v>0.96826116208688795</v>
      </c>
      <c r="D417" s="194">
        <v>3.3010978170838161</v>
      </c>
    </row>
    <row r="418" spans="1:4" ht="21.75" customHeight="1" x14ac:dyDescent="0.2">
      <c r="A418" s="195" t="s">
        <v>1102</v>
      </c>
      <c r="B418" s="195" t="s">
        <v>1405</v>
      </c>
      <c r="C418" s="194">
        <v>0.97145946871155198</v>
      </c>
      <c r="D418" s="194">
        <v>3.3435397872172898</v>
      </c>
    </row>
    <row r="419" spans="1:4" ht="21.75" customHeight="1" x14ac:dyDescent="0.2">
      <c r="A419" s="195" t="s">
        <v>1103</v>
      </c>
      <c r="B419" s="195" t="s">
        <v>1430</v>
      </c>
      <c r="C419" s="194">
        <v>1.7701679495081957</v>
      </c>
      <c r="D419" s="194">
        <v>2.7213629431873914</v>
      </c>
    </row>
    <row r="420" spans="1:4" ht="21.75" customHeight="1" x14ac:dyDescent="0.2">
      <c r="A420" s="195" t="s">
        <v>1104</v>
      </c>
      <c r="B420" s="196" t="s">
        <v>1430</v>
      </c>
      <c r="C420" s="194">
        <v>1.7701679495081957</v>
      </c>
      <c r="D420" s="194">
        <v>2.7213629431873914</v>
      </c>
    </row>
    <row r="421" spans="1:4" ht="21.75" customHeight="1" x14ac:dyDescent="0.2">
      <c r="A421" s="195" t="s">
        <v>1105</v>
      </c>
      <c r="B421" s="195" t="s">
        <v>1406</v>
      </c>
      <c r="C421" s="194">
        <v>0</v>
      </c>
      <c r="D421" s="194">
        <v>23.31949483869279</v>
      </c>
    </row>
    <row r="422" spans="1:4" ht="21.75" customHeight="1" x14ac:dyDescent="0.2">
      <c r="A422" s="195" t="s">
        <v>1106</v>
      </c>
      <c r="B422" s="195" t="s">
        <v>1407</v>
      </c>
      <c r="C422" s="194">
        <v>1.0231381501263437</v>
      </c>
      <c r="D422" s="194">
        <v>3.1511308241809539</v>
      </c>
    </row>
    <row r="423" spans="1:4" ht="21.75" customHeight="1" x14ac:dyDescent="0.2">
      <c r="A423" s="195" t="s">
        <v>1107</v>
      </c>
      <c r="B423" s="195" t="s">
        <v>1408</v>
      </c>
      <c r="C423" s="194">
        <v>0.25595401817866203</v>
      </c>
      <c r="D423" s="194">
        <v>3.4475535887928523</v>
      </c>
    </row>
    <row r="424" spans="1:4" ht="21.75" customHeight="1" x14ac:dyDescent="0.2">
      <c r="A424" s="195" t="s">
        <v>1108</v>
      </c>
      <c r="B424" s="195" t="s">
        <v>1409</v>
      </c>
      <c r="C424" s="194">
        <v>1.756780437293008</v>
      </c>
      <c r="D424" s="194">
        <v>2.7810594869389282</v>
      </c>
    </row>
    <row r="425" spans="1:4" ht="21.75" customHeight="1" x14ac:dyDescent="0.2">
      <c r="A425" s="195" t="s">
        <v>1109</v>
      </c>
      <c r="B425" s="195" t="s">
        <v>1410</v>
      </c>
      <c r="C425" s="194">
        <v>0.81347284300394129</v>
      </c>
      <c r="D425" s="194">
        <v>5.3479933454353237</v>
      </c>
    </row>
    <row r="426" spans="1:4" ht="21.75" customHeight="1" x14ac:dyDescent="0.2">
      <c r="A426" s="195" t="s">
        <v>1110</v>
      </c>
      <c r="B426" s="195" t="s">
        <v>1411</v>
      </c>
      <c r="C426" s="194">
        <v>8.7857127174678404E-2</v>
      </c>
      <c r="D426" s="194">
        <v>10.715850017036974</v>
      </c>
    </row>
    <row r="427" spans="1:4" ht="21.75" customHeight="1" x14ac:dyDescent="0.2">
      <c r="A427" s="195" t="s">
        <v>1111</v>
      </c>
      <c r="B427" s="195" t="s">
        <v>1412</v>
      </c>
      <c r="C427" s="194">
        <v>2.2706847785520682E-2</v>
      </c>
      <c r="D427" s="194">
        <v>3.402067411167875E-2</v>
      </c>
    </row>
    <row r="428" spans="1:4" ht="21.75" customHeight="1" x14ac:dyDescent="0.2">
      <c r="A428" s="195" t="s">
        <v>1112</v>
      </c>
      <c r="B428" s="195" t="s">
        <v>1413</v>
      </c>
      <c r="C428" s="194">
        <v>0.61472454899912699</v>
      </c>
      <c r="D428" s="194">
        <v>3.6017548160575741</v>
      </c>
    </row>
    <row r="429" spans="1:4" ht="21.75" customHeight="1" x14ac:dyDescent="0.2">
      <c r="A429" s="195" t="s">
        <v>1113</v>
      </c>
      <c r="B429" s="195" t="s">
        <v>1414</v>
      </c>
      <c r="C429" s="194">
        <v>0</v>
      </c>
      <c r="D429" s="194">
        <v>0.67544856662918862</v>
      </c>
    </row>
    <row r="430" spans="1:4" ht="21.75" customHeight="1" x14ac:dyDescent="0.2">
      <c r="A430" s="195" t="s">
        <v>1114</v>
      </c>
      <c r="B430" s="195" t="s">
        <v>1415</v>
      </c>
      <c r="C430" s="194">
        <v>0.164860252477353</v>
      </c>
      <c r="D430" s="194">
        <v>1.2979601559647735</v>
      </c>
    </row>
    <row r="431" spans="1:4" ht="21.75" customHeight="1" x14ac:dyDescent="0.2">
      <c r="A431" s="195" t="s">
        <v>1115</v>
      </c>
      <c r="B431" s="195" t="s">
        <v>1429</v>
      </c>
      <c r="C431" s="194">
        <v>7.3460713280887751</v>
      </c>
      <c r="D431" s="194">
        <v>0.52511411254007889</v>
      </c>
    </row>
    <row r="432" spans="1:4" ht="21.75" customHeight="1" x14ac:dyDescent="0.2">
      <c r="A432" s="195" t="s">
        <v>1116</v>
      </c>
      <c r="B432" s="195" t="s">
        <v>1416</v>
      </c>
      <c r="C432" s="194">
        <v>3.3463331568898305</v>
      </c>
      <c r="D432" s="194">
        <v>18.031988571643286</v>
      </c>
    </row>
    <row r="433" spans="1:4" ht="21.75" customHeight="1" x14ac:dyDescent="0.2">
      <c r="A433" s="195" t="s">
        <v>1117</v>
      </c>
      <c r="B433" s="195" t="s">
        <v>1417</v>
      </c>
      <c r="C433" s="194">
        <v>1.0142659077206</v>
      </c>
      <c r="D433" s="194">
        <v>0.11248386781542719</v>
      </c>
    </row>
    <row r="434" spans="1:4" ht="21.75" customHeight="1" x14ac:dyDescent="0.2">
      <c r="A434" s="195" t="s">
        <v>1118</v>
      </c>
      <c r="B434" s="195" t="s">
        <v>1418</v>
      </c>
      <c r="C434" s="194">
        <v>1.1108337356730069</v>
      </c>
      <c r="D434" s="194">
        <v>11.201268681670136</v>
      </c>
    </row>
    <row r="435" spans="1:4" ht="21.75" customHeight="1" x14ac:dyDescent="0.2">
      <c r="A435" s="195" t="s">
        <v>1119</v>
      </c>
      <c r="B435" s="195" t="s">
        <v>1419</v>
      </c>
      <c r="C435" s="194">
        <v>1.3159748020755924</v>
      </c>
      <c r="D435" s="194">
        <v>7.732635240466621</v>
      </c>
    </row>
    <row r="436" spans="1:4" ht="21.75" customHeight="1" x14ac:dyDescent="0.2">
      <c r="A436" s="195" t="s">
        <v>1120</v>
      </c>
      <c r="B436" s="195" t="s">
        <v>1420</v>
      </c>
      <c r="C436" s="194">
        <v>-3.3661820256093017E-2</v>
      </c>
      <c r="D436" s="194">
        <v>-0.3486870798749907</v>
      </c>
    </row>
    <row r="437" spans="1:4" ht="21.75" customHeight="1" x14ac:dyDescent="0.2">
      <c r="A437" s="195" t="s">
        <v>1121</v>
      </c>
      <c r="B437" s="195" t="s">
        <v>1420</v>
      </c>
      <c r="C437" s="194">
        <v>-3.3474178700997004E-2</v>
      </c>
      <c r="D437" s="194">
        <v>2.6659030760367936E-2</v>
      </c>
    </row>
    <row r="438" spans="1:4" ht="21.75" customHeight="1" x14ac:dyDescent="0.2">
      <c r="A438" s="195" t="s">
        <v>1122</v>
      </c>
      <c r="B438" s="195" t="s">
        <v>1421</v>
      </c>
      <c r="C438" s="194">
        <v>0.52064072201497891</v>
      </c>
      <c r="D438" s="194">
        <v>32.883669882922128</v>
      </c>
    </row>
    <row r="439" spans="1:4" ht="21.75" customHeight="1" x14ac:dyDescent="0.2">
      <c r="A439" s="195" t="s">
        <v>1123</v>
      </c>
      <c r="B439" s="195" t="s">
        <v>1422</v>
      </c>
      <c r="C439" s="194">
        <v>0.78935025310953499</v>
      </c>
      <c r="D439" s="194">
        <v>8.750366354756995</v>
      </c>
    </row>
    <row r="440" spans="1:4" ht="21.75" customHeight="1" x14ac:dyDescent="0.2">
      <c r="A440" s="195" t="s">
        <v>1124</v>
      </c>
      <c r="B440" s="195" t="s">
        <v>1423</v>
      </c>
      <c r="C440" s="194">
        <v>6.1837431180900602</v>
      </c>
      <c r="D440" s="194">
        <v>0.90838386815761485</v>
      </c>
    </row>
    <row r="441" spans="1:4" ht="21.75" customHeight="1" x14ac:dyDescent="0.2">
      <c r="A441" s="195" t="s">
        <v>1125</v>
      </c>
      <c r="B441" s="195" t="s">
        <v>1424</v>
      </c>
      <c r="C441" s="194">
        <v>1.727785889168832</v>
      </c>
      <c r="D441" s="194">
        <v>7.3536059311835267</v>
      </c>
    </row>
    <row r="442" spans="1:4" ht="21.75" customHeight="1" x14ac:dyDescent="0.2">
      <c r="A442" s="195" t="s">
        <v>1126</v>
      </c>
      <c r="B442" s="195" t="s">
        <v>1424</v>
      </c>
      <c r="C442" s="194">
        <v>1.1792957785678921</v>
      </c>
      <c r="D442" s="194">
        <v>6.6858577619470907</v>
      </c>
    </row>
    <row r="443" spans="1:4" ht="21.75" customHeight="1" x14ac:dyDescent="0.2">
      <c r="A443" s="195" t="s">
        <v>1127</v>
      </c>
      <c r="B443" s="195" t="s">
        <v>1425</v>
      </c>
      <c r="C443" s="194">
        <v>4.0938769823729295</v>
      </c>
      <c r="D443" s="194">
        <v>3.2533171870658961E-3</v>
      </c>
    </row>
    <row r="444" spans="1:4" ht="21.75" customHeight="1" x14ac:dyDescent="0.2">
      <c r="A444" s="195" t="s">
        <v>1128</v>
      </c>
      <c r="B444" s="195" t="s">
        <v>1426</v>
      </c>
      <c r="C444" s="194">
        <v>1.0514359731627541</v>
      </c>
      <c r="D444" s="194">
        <v>14.12343974738218</v>
      </c>
    </row>
    <row r="445" spans="1:4" ht="21.75" customHeight="1" x14ac:dyDescent="0.2">
      <c r="A445" s="195" t="s">
        <v>1129</v>
      </c>
      <c r="B445" s="195" t="s">
        <v>1427</v>
      </c>
      <c r="C445" s="194">
        <v>1.8279406303599859</v>
      </c>
      <c r="D445" s="194">
        <v>11.327788805319893</v>
      </c>
    </row>
    <row r="446" spans="1:4" ht="21.75" customHeight="1" x14ac:dyDescent="0.2">
      <c r="A446" s="195" t="s">
        <v>1130</v>
      </c>
      <c r="B446" s="195" t="s">
        <v>1428</v>
      </c>
      <c r="C446" s="194">
        <v>5.1677687182076042E-2</v>
      </c>
      <c r="D446" s="194">
        <v>2.9085063891302942</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6"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59" customWidth="1"/>
    <col min="2" max="2" width="37.42578125" style="159" bestFit="1" customWidth="1"/>
    <col min="3" max="3" width="19" style="160" customWidth="1"/>
    <col min="4" max="4" width="5.28515625" style="159" bestFit="1" customWidth="1"/>
    <col min="5" max="5" width="4.7109375" style="159" customWidth="1"/>
    <col min="6" max="6" width="29.140625" style="159" bestFit="1" customWidth="1"/>
    <col min="7" max="7" width="11.5703125" style="159"/>
    <col min="8" max="8" width="64.5703125" style="159" bestFit="1" customWidth="1"/>
    <col min="9" max="16384" width="11.5703125" style="159"/>
  </cols>
  <sheetData>
    <row r="1" spans="1:8" ht="26.25" customHeight="1" x14ac:dyDescent="0.35">
      <c r="A1" s="170" t="s">
        <v>18</v>
      </c>
      <c r="H1" s="161"/>
    </row>
    <row r="2" spans="1:8" ht="12.75" customHeight="1" x14ac:dyDescent="0.2">
      <c r="A2" s="162"/>
    </row>
    <row r="3" spans="1:8" ht="12.75" customHeight="1" x14ac:dyDescent="0.2">
      <c r="A3" s="162"/>
    </row>
    <row r="4" spans="1:8" ht="12.75" customHeight="1" x14ac:dyDescent="0.2">
      <c r="A4" s="162"/>
    </row>
    <row r="5" spans="1:8" ht="12.75" customHeight="1" x14ac:dyDescent="0.2">
      <c r="A5" s="162"/>
    </row>
    <row r="6" spans="1:8" ht="12.75" customHeight="1" x14ac:dyDescent="0.2">
      <c r="A6" s="162"/>
    </row>
    <row r="7" spans="1:8" ht="12.75" customHeight="1" x14ac:dyDescent="0.2">
      <c r="A7" s="162"/>
    </row>
    <row r="8" spans="1:8" ht="12.75" customHeight="1" x14ac:dyDescent="0.2">
      <c r="A8" s="162"/>
    </row>
    <row r="9" spans="1:8" ht="12.75" customHeight="1" x14ac:dyDescent="0.2">
      <c r="A9" s="162"/>
    </row>
    <row r="10" spans="1:8" ht="12.75" customHeight="1" x14ac:dyDescent="0.2">
      <c r="A10" s="162"/>
    </row>
    <row r="11" spans="1:8" ht="12.75" customHeight="1" x14ac:dyDescent="0.2">
      <c r="A11" s="162"/>
    </row>
    <row r="12" spans="1:8" ht="12.75" customHeight="1" x14ac:dyDescent="0.2">
      <c r="A12" s="162"/>
    </row>
    <row r="13" spans="1:8" ht="12.75" customHeight="1" x14ac:dyDescent="0.2">
      <c r="A13" s="162"/>
    </row>
    <row r="14" spans="1:8" ht="12.75" customHeight="1" x14ac:dyDescent="0.2">
      <c r="A14" s="162"/>
    </row>
    <row r="15" spans="1:8" ht="12.75" customHeight="1" x14ac:dyDescent="0.2">
      <c r="A15" s="162"/>
    </row>
    <row r="16" spans="1:8" ht="12.75" customHeight="1" x14ac:dyDescent="0.2">
      <c r="A16" s="162"/>
    </row>
    <row r="17" spans="1:8" ht="12.75" customHeight="1" x14ac:dyDescent="0.2">
      <c r="A17" s="162"/>
    </row>
    <row r="18" spans="1:8" ht="12.75" customHeight="1" x14ac:dyDescent="0.2">
      <c r="A18" s="162"/>
    </row>
    <row r="19" spans="1:8" ht="12.75" customHeight="1" x14ac:dyDescent="0.2">
      <c r="A19" s="162"/>
    </row>
    <row r="20" spans="1:8" ht="12.75" customHeight="1" x14ac:dyDescent="0.2">
      <c r="A20" s="162"/>
    </row>
    <row r="21" spans="1:8" ht="12.75" customHeight="1" x14ac:dyDescent="0.2">
      <c r="A21" s="162"/>
    </row>
    <row r="22" spans="1:8" ht="12.75" customHeight="1" x14ac:dyDescent="0.2">
      <c r="A22" s="162"/>
    </row>
    <row r="23" spans="1:8" ht="12.75" customHeight="1" x14ac:dyDescent="0.2">
      <c r="A23" s="162"/>
    </row>
    <row r="24" spans="1:8" ht="12.75" customHeight="1" x14ac:dyDescent="0.2">
      <c r="A24" s="162"/>
    </row>
    <row r="25" spans="1:8" ht="12.75" customHeight="1" x14ac:dyDescent="0.2">
      <c r="A25" s="162"/>
    </row>
    <row r="26" spans="1:8" ht="12.75" customHeight="1" x14ac:dyDescent="0.2">
      <c r="A26" s="162"/>
    </row>
    <row r="27" spans="1:8" ht="12.75" customHeight="1" x14ac:dyDescent="0.2">
      <c r="A27" s="162"/>
    </row>
    <row r="28" spans="1:8" s="164" customFormat="1" ht="51" x14ac:dyDescent="0.2">
      <c r="A28" s="45" t="s">
        <v>178</v>
      </c>
      <c r="B28" s="45" t="s">
        <v>179</v>
      </c>
      <c r="C28" s="45" t="s">
        <v>406</v>
      </c>
      <c r="D28" s="163"/>
      <c r="E28" s="163"/>
      <c r="F28" s="45" t="s">
        <v>407</v>
      </c>
      <c r="G28" s="45" t="s">
        <v>408</v>
      </c>
      <c r="H28" s="45" t="s">
        <v>409</v>
      </c>
    </row>
    <row r="29" spans="1:8" x14ac:dyDescent="0.2">
      <c r="A29" s="172">
        <v>3</v>
      </c>
      <c r="B29" s="165" t="s">
        <v>180</v>
      </c>
      <c r="C29" s="171" t="s">
        <v>415</v>
      </c>
      <c r="F29" s="159" t="s">
        <v>412</v>
      </c>
      <c r="G29" s="166">
        <v>43626</v>
      </c>
      <c r="H29" s="159" t="s">
        <v>413</v>
      </c>
    </row>
    <row r="30" spans="1:8" x14ac:dyDescent="0.2">
      <c r="A30" s="172">
        <v>4</v>
      </c>
      <c r="B30" s="165" t="s">
        <v>180</v>
      </c>
      <c r="C30" s="171" t="s">
        <v>415</v>
      </c>
      <c r="F30" s="159" t="s">
        <v>417</v>
      </c>
      <c r="G30" s="166">
        <v>43626</v>
      </c>
      <c r="H30" s="159" t="s">
        <v>413</v>
      </c>
    </row>
    <row r="31" spans="1:8" x14ac:dyDescent="0.2">
      <c r="A31" s="172">
        <v>5</v>
      </c>
      <c r="B31" s="165" t="s">
        <v>181</v>
      </c>
      <c r="C31" s="171" t="s">
        <v>415</v>
      </c>
      <c r="F31" s="159" t="s">
        <v>416</v>
      </c>
      <c r="G31" s="166">
        <v>43626</v>
      </c>
      <c r="H31" s="159" t="s">
        <v>413</v>
      </c>
    </row>
    <row r="32" spans="1:8" x14ac:dyDescent="0.2">
      <c r="A32" s="172">
        <v>6</v>
      </c>
      <c r="B32" s="165" t="s">
        <v>182</v>
      </c>
      <c r="C32" s="171" t="s">
        <v>415</v>
      </c>
      <c r="F32" s="159" t="s">
        <v>418</v>
      </c>
      <c r="G32" s="166">
        <v>43626</v>
      </c>
      <c r="H32" s="159" t="s">
        <v>419</v>
      </c>
    </row>
    <row r="33" spans="1:8" x14ac:dyDescent="0.2">
      <c r="A33" s="172">
        <v>7</v>
      </c>
      <c r="B33" s="165" t="s">
        <v>182</v>
      </c>
      <c r="C33" s="171" t="s">
        <v>415</v>
      </c>
      <c r="F33" s="169"/>
      <c r="G33" s="166"/>
      <c r="H33" s="168"/>
    </row>
    <row r="34" spans="1:8" x14ac:dyDescent="0.2">
      <c r="A34" s="172">
        <v>8</v>
      </c>
      <c r="B34" s="165" t="s">
        <v>182</v>
      </c>
      <c r="C34" s="171" t="s">
        <v>415</v>
      </c>
      <c r="F34" s="167"/>
      <c r="G34" s="166"/>
    </row>
    <row r="35" spans="1:8" x14ac:dyDescent="0.2">
      <c r="A35" s="172">
        <v>9</v>
      </c>
      <c r="B35" s="165" t="s">
        <v>182</v>
      </c>
      <c r="C35" s="171" t="s">
        <v>415</v>
      </c>
      <c r="G35" s="166"/>
      <c r="H35" s="167"/>
    </row>
    <row r="36" spans="1:8" x14ac:dyDescent="0.2">
      <c r="A36" s="172">
        <v>10</v>
      </c>
      <c r="B36" s="165" t="s">
        <v>182</v>
      </c>
      <c r="C36" s="171" t="s">
        <v>415</v>
      </c>
      <c r="G36" s="166"/>
      <c r="H36" s="167"/>
    </row>
    <row r="37" spans="1:8" x14ac:dyDescent="0.2">
      <c r="A37" s="172">
        <v>11</v>
      </c>
      <c r="B37" s="165" t="s">
        <v>182</v>
      </c>
      <c r="C37" s="171" t="s">
        <v>415</v>
      </c>
      <c r="G37" s="166"/>
    </row>
    <row r="38" spans="1:8" x14ac:dyDescent="0.2">
      <c r="A38" s="172">
        <v>12</v>
      </c>
      <c r="B38" s="165" t="s">
        <v>182</v>
      </c>
      <c r="C38" s="171" t="s">
        <v>415</v>
      </c>
      <c r="G38" s="166"/>
    </row>
    <row r="39" spans="1:8" x14ac:dyDescent="0.2">
      <c r="A39" s="172">
        <v>13</v>
      </c>
      <c r="B39" s="165" t="s">
        <v>183</v>
      </c>
      <c r="C39" s="171" t="s">
        <v>415</v>
      </c>
      <c r="G39" s="166"/>
    </row>
    <row r="40" spans="1:8" x14ac:dyDescent="0.2">
      <c r="A40" s="172">
        <v>15</v>
      </c>
      <c r="B40" s="165" t="s">
        <v>183</v>
      </c>
      <c r="C40" s="171" t="s">
        <v>415</v>
      </c>
      <c r="F40" s="167"/>
      <c r="G40" s="166"/>
      <c r="H40" s="167"/>
    </row>
    <row r="41" spans="1:8" x14ac:dyDescent="0.2">
      <c r="A41" s="172">
        <v>16</v>
      </c>
      <c r="B41" s="165" t="s">
        <v>184</v>
      </c>
      <c r="C41" s="171" t="s">
        <v>415</v>
      </c>
      <c r="G41" s="166"/>
      <c r="H41" s="167"/>
    </row>
    <row r="42" spans="1:8" x14ac:dyDescent="0.2">
      <c r="A42" s="172">
        <v>17</v>
      </c>
      <c r="B42" s="165" t="s">
        <v>184</v>
      </c>
      <c r="C42" s="171" t="s">
        <v>415</v>
      </c>
      <c r="G42" s="166"/>
    </row>
    <row r="43" spans="1:8" x14ac:dyDescent="0.2">
      <c r="A43" s="172">
        <v>18</v>
      </c>
      <c r="B43" s="165" t="s">
        <v>184</v>
      </c>
      <c r="C43" s="171" t="s">
        <v>415</v>
      </c>
      <c r="G43" s="166"/>
    </row>
    <row r="44" spans="1:8" x14ac:dyDescent="0.2">
      <c r="A44" s="172">
        <v>19</v>
      </c>
      <c r="B44" s="165" t="s">
        <v>184</v>
      </c>
      <c r="C44" s="171" t="s">
        <v>415</v>
      </c>
      <c r="G44" s="166"/>
    </row>
    <row r="45" spans="1:8" x14ac:dyDescent="0.2">
      <c r="A45" s="172">
        <v>20</v>
      </c>
      <c r="B45" s="165" t="s">
        <v>184</v>
      </c>
      <c r="C45" s="171" t="s">
        <v>415</v>
      </c>
      <c r="G45" s="166"/>
    </row>
    <row r="46" spans="1:8" x14ac:dyDescent="0.2">
      <c r="A46" s="172">
        <v>21</v>
      </c>
      <c r="B46" s="165" t="s">
        <v>184</v>
      </c>
      <c r="C46" s="171" t="s">
        <v>415</v>
      </c>
      <c r="G46" s="166"/>
    </row>
    <row r="47" spans="1:8" x14ac:dyDescent="0.2">
      <c r="A47" s="172">
        <v>22</v>
      </c>
      <c r="B47" s="165" t="s">
        <v>184</v>
      </c>
      <c r="C47" s="171" t="s">
        <v>415</v>
      </c>
      <c r="G47" s="166"/>
    </row>
    <row r="48" spans="1:8" x14ac:dyDescent="0.2">
      <c r="A48" s="172">
        <v>23</v>
      </c>
      <c r="B48" s="165" t="s">
        <v>185</v>
      </c>
      <c r="C48" s="171" t="s">
        <v>415</v>
      </c>
      <c r="G48" s="166"/>
    </row>
    <row r="49" spans="1:8" x14ac:dyDescent="0.2">
      <c r="A49" s="172">
        <v>24</v>
      </c>
      <c r="B49" s="165" t="s">
        <v>185</v>
      </c>
      <c r="C49" s="171" t="s">
        <v>415</v>
      </c>
      <c r="G49" s="166"/>
    </row>
    <row r="50" spans="1:8" x14ac:dyDescent="0.2">
      <c r="A50" s="172">
        <v>25</v>
      </c>
      <c r="B50" s="165" t="s">
        <v>185</v>
      </c>
      <c r="C50" s="171" t="s">
        <v>415</v>
      </c>
      <c r="G50" s="166"/>
    </row>
    <row r="51" spans="1:8" x14ac:dyDescent="0.2">
      <c r="A51" s="172">
        <v>26</v>
      </c>
      <c r="B51" s="165" t="s">
        <v>185</v>
      </c>
      <c r="C51" s="171" t="s">
        <v>415</v>
      </c>
      <c r="G51" s="166"/>
    </row>
    <row r="52" spans="1:8" x14ac:dyDescent="0.2">
      <c r="A52" s="172">
        <v>28</v>
      </c>
      <c r="B52" s="165" t="s">
        <v>185</v>
      </c>
      <c r="C52" s="171" t="s">
        <v>415</v>
      </c>
      <c r="G52" s="166"/>
    </row>
    <row r="53" spans="1:8" x14ac:dyDescent="0.2">
      <c r="A53" s="172">
        <v>29</v>
      </c>
      <c r="B53" s="165" t="s">
        <v>185</v>
      </c>
      <c r="C53" s="171" t="s">
        <v>415</v>
      </c>
      <c r="G53" s="166"/>
    </row>
    <row r="54" spans="1:8" x14ac:dyDescent="0.2">
      <c r="A54" s="172">
        <v>30</v>
      </c>
      <c r="B54" s="165" t="s">
        <v>185</v>
      </c>
      <c r="C54" s="171" t="s">
        <v>415</v>
      </c>
      <c r="G54" s="166"/>
    </row>
    <row r="55" spans="1:8" x14ac:dyDescent="0.2">
      <c r="A55" s="172">
        <v>31</v>
      </c>
      <c r="B55" s="165" t="s">
        <v>185</v>
      </c>
      <c r="C55" s="171" t="s">
        <v>415</v>
      </c>
      <c r="G55" s="166"/>
    </row>
    <row r="56" spans="1:8" x14ac:dyDescent="0.2">
      <c r="A56" s="172">
        <v>32</v>
      </c>
      <c r="B56" s="165" t="s">
        <v>185</v>
      </c>
      <c r="C56" s="171" t="s">
        <v>415</v>
      </c>
      <c r="F56" s="167"/>
      <c r="G56" s="166"/>
      <c r="H56" s="167"/>
    </row>
    <row r="57" spans="1:8" x14ac:dyDescent="0.2">
      <c r="A57" s="172">
        <v>33</v>
      </c>
      <c r="B57" s="165" t="s">
        <v>185</v>
      </c>
      <c r="C57" s="171" t="s">
        <v>415</v>
      </c>
      <c r="F57" s="167"/>
      <c r="G57" s="166"/>
      <c r="H57" s="167"/>
    </row>
    <row r="58" spans="1:8" x14ac:dyDescent="0.2">
      <c r="A58" s="172">
        <v>34</v>
      </c>
      <c r="B58" s="165" t="s">
        <v>185</v>
      </c>
      <c r="C58" s="171" t="s">
        <v>415</v>
      </c>
      <c r="F58" s="167"/>
      <c r="G58" s="166"/>
      <c r="H58" s="167"/>
    </row>
    <row r="59" spans="1:8" x14ac:dyDescent="0.2">
      <c r="A59" s="172">
        <v>35</v>
      </c>
      <c r="B59" s="165" t="s">
        <v>185</v>
      </c>
      <c r="C59" s="171" t="s">
        <v>415</v>
      </c>
      <c r="F59" s="167"/>
      <c r="G59" s="166"/>
      <c r="H59" s="167"/>
    </row>
    <row r="60" spans="1:8" x14ac:dyDescent="0.2">
      <c r="A60" s="172">
        <v>36</v>
      </c>
      <c r="B60" s="165" t="s">
        <v>185</v>
      </c>
      <c r="C60" s="171" t="s">
        <v>415</v>
      </c>
      <c r="F60" s="167"/>
      <c r="G60" s="166"/>
      <c r="H60" s="167"/>
    </row>
    <row r="61" spans="1:8" x14ac:dyDescent="0.2">
      <c r="A61" s="172">
        <v>37</v>
      </c>
      <c r="B61" s="165" t="s">
        <v>185</v>
      </c>
      <c r="C61" s="171" t="s">
        <v>415</v>
      </c>
      <c r="F61" s="167"/>
      <c r="G61" s="166"/>
      <c r="H61" s="167"/>
    </row>
    <row r="62" spans="1:8" x14ac:dyDescent="0.2">
      <c r="A62" s="172">
        <v>38</v>
      </c>
      <c r="B62" s="165" t="s">
        <v>185</v>
      </c>
      <c r="C62" s="171" t="s">
        <v>415</v>
      </c>
      <c r="F62" s="167"/>
      <c r="G62" s="166"/>
      <c r="H62" s="167"/>
    </row>
    <row r="63" spans="1:8" x14ac:dyDescent="0.2">
      <c r="A63" s="172">
        <v>39</v>
      </c>
      <c r="B63" s="165" t="s">
        <v>185</v>
      </c>
      <c r="C63" s="171" t="s">
        <v>415</v>
      </c>
      <c r="F63" s="167"/>
      <c r="G63" s="166"/>
      <c r="H63" s="167"/>
    </row>
    <row r="64" spans="1:8" x14ac:dyDescent="0.2">
      <c r="A64" s="172">
        <v>40</v>
      </c>
      <c r="B64" s="165" t="s">
        <v>184</v>
      </c>
      <c r="C64" s="171" t="s">
        <v>415</v>
      </c>
      <c r="F64" s="167"/>
      <c r="G64" s="166"/>
      <c r="H64" s="167"/>
    </row>
    <row r="65" spans="1:8" x14ac:dyDescent="0.2">
      <c r="A65" s="172">
        <v>41</v>
      </c>
      <c r="B65" s="165" t="s">
        <v>186</v>
      </c>
      <c r="C65" s="171" t="s">
        <v>415</v>
      </c>
      <c r="F65" s="167"/>
      <c r="G65" s="166"/>
      <c r="H65" s="167"/>
    </row>
    <row r="66" spans="1:8" x14ac:dyDescent="0.2">
      <c r="A66" s="172">
        <v>42</v>
      </c>
      <c r="B66" s="165" t="s">
        <v>187</v>
      </c>
      <c r="C66" s="171" t="s">
        <v>415</v>
      </c>
      <c r="F66" s="167"/>
      <c r="G66" s="166"/>
      <c r="H66" s="167"/>
    </row>
    <row r="67" spans="1:8" x14ac:dyDescent="0.2">
      <c r="A67" s="172">
        <v>43</v>
      </c>
      <c r="B67" s="165" t="s">
        <v>187</v>
      </c>
      <c r="C67" s="171" t="s">
        <v>415</v>
      </c>
      <c r="F67" s="167"/>
      <c r="G67" s="166"/>
      <c r="H67" s="167"/>
    </row>
    <row r="68" spans="1:8" x14ac:dyDescent="0.2">
      <c r="A68" s="172">
        <v>44</v>
      </c>
      <c r="B68" s="165" t="s">
        <v>186</v>
      </c>
      <c r="C68" s="171" t="s">
        <v>415</v>
      </c>
      <c r="F68" s="167"/>
      <c r="G68" s="166"/>
      <c r="H68" s="167"/>
    </row>
    <row r="69" spans="1:8" x14ac:dyDescent="0.2">
      <c r="A69" s="172">
        <v>45</v>
      </c>
      <c r="B69" s="165" t="s">
        <v>188</v>
      </c>
      <c r="C69" s="171" t="s">
        <v>415</v>
      </c>
      <c r="F69" s="167"/>
      <c r="G69" s="166"/>
      <c r="H69" s="167"/>
    </row>
    <row r="70" spans="1:8" x14ac:dyDescent="0.2">
      <c r="A70" s="172">
        <v>46</v>
      </c>
      <c r="B70" s="165" t="s">
        <v>189</v>
      </c>
      <c r="C70" s="171" t="s">
        <v>415</v>
      </c>
      <c r="F70" s="167"/>
      <c r="G70" s="166"/>
      <c r="H70" s="167"/>
    </row>
    <row r="71" spans="1:8" x14ac:dyDescent="0.2">
      <c r="A71" s="172">
        <v>47</v>
      </c>
      <c r="B71" s="165" t="s">
        <v>190</v>
      </c>
      <c r="C71" s="171" t="s">
        <v>415</v>
      </c>
      <c r="F71" s="167"/>
      <c r="G71" s="166"/>
      <c r="H71" s="167"/>
    </row>
    <row r="72" spans="1:8" x14ac:dyDescent="0.2">
      <c r="A72" s="172">
        <v>48</v>
      </c>
      <c r="B72" s="165" t="s">
        <v>191</v>
      </c>
      <c r="C72" s="171" t="s">
        <v>415</v>
      </c>
      <c r="F72" s="167"/>
      <c r="G72" s="166"/>
      <c r="H72" s="167"/>
    </row>
    <row r="73" spans="1:8" x14ac:dyDescent="0.2">
      <c r="A73" s="172">
        <v>49</v>
      </c>
      <c r="B73" s="165" t="s">
        <v>184</v>
      </c>
      <c r="C73" s="171" t="s">
        <v>415</v>
      </c>
      <c r="F73" s="167"/>
      <c r="G73" s="166"/>
      <c r="H73" s="167"/>
    </row>
    <row r="74" spans="1:8" x14ac:dyDescent="0.2">
      <c r="A74" s="172">
        <v>50</v>
      </c>
      <c r="B74" s="165" t="s">
        <v>192</v>
      </c>
      <c r="C74" s="171" t="s">
        <v>415</v>
      </c>
      <c r="F74" s="167"/>
      <c r="G74" s="166"/>
      <c r="H74" s="167"/>
    </row>
    <row r="75" spans="1:8" x14ac:dyDescent="0.2">
      <c r="A75" s="172">
        <v>51</v>
      </c>
      <c r="B75" s="165" t="s">
        <v>193</v>
      </c>
      <c r="C75" s="171" t="s">
        <v>414</v>
      </c>
      <c r="F75" s="167"/>
      <c r="G75" s="166"/>
      <c r="H75" s="167"/>
    </row>
    <row r="76" spans="1:8" x14ac:dyDescent="0.2">
      <c r="A76" s="172">
        <v>52</v>
      </c>
      <c r="B76" s="165" t="s">
        <v>194</v>
      </c>
      <c r="C76" s="171" t="s">
        <v>415</v>
      </c>
      <c r="F76" s="167"/>
      <c r="G76" s="166"/>
      <c r="H76" s="167"/>
    </row>
    <row r="77" spans="1:8" x14ac:dyDescent="0.2">
      <c r="A77" s="172">
        <v>53</v>
      </c>
      <c r="B77" s="165" t="s">
        <v>194</v>
      </c>
      <c r="C77" s="171" t="s">
        <v>415</v>
      </c>
      <c r="F77" s="167"/>
      <c r="G77" s="166"/>
      <c r="H77" s="167"/>
    </row>
    <row r="78" spans="1:8" x14ac:dyDescent="0.2">
      <c r="A78" s="172">
        <v>55</v>
      </c>
      <c r="B78" s="165" t="s">
        <v>194</v>
      </c>
      <c r="C78" s="171" t="s">
        <v>415</v>
      </c>
      <c r="F78" s="167"/>
      <c r="G78" s="166"/>
      <c r="H78" s="167"/>
    </row>
    <row r="79" spans="1:8" x14ac:dyDescent="0.2">
      <c r="A79" s="172">
        <v>56</v>
      </c>
      <c r="B79" s="165" t="s">
        <v>194</v>
      </c>
      <c r="C79" s="171" t="s">
        <v>415</v>
      </c>
      <c r="F79" s="167"/>
      <c r="G79" s="166"/>
      <c r="H79" s="167"/>
    </row>
    <row r="80" spans="1:8" x14ac:dyDescent="0.2">
      <c r="A80" s="172">
        <v>57</v>
      </c>
      <c r="B80" s="165" t="s">
        <v>194</v>
      </c>
      <c r="C80" s="171" t="s">
        <v>415</v>
      </c>
      <c r="F80" s="167"/>
      <c r="G80" s="166"/>
      <c r="H80" s="167"/>
    </row>
    <row r="81" spans="1:8" x14ac:dyDescent="0.2">
      <c r="A81" s="172">
        <v>58</v>
      </c>
      <c r="B81" s="165" t="s">
        <v>195</v>
      </c>
      <c r="C81" s="171" t="s">
        <v>414</v>
      </c>
      <c r="F81" s="167"/>
      <c r="G81" s="166"/>
      <c r="H81" s="167"/>
    </row>
    <row r="82" spans="1:8" x14ac:dyDescent="0.2">
      <c r="A82" s="172">
        <v>59</v>
      </c>
      <c r="B82" s="165" t="s">
        <v>194</v>
      </c>
      <c r="C82" s="171" t="s">
        <v>415</v>
      </c>
      <c r="F82" s="167"/>
      <c r="G82" s="166"/>
      <c r="H82" s="167"/>
    </row>
    <row r="83" spans="1:8" x14ac:dyDescent="0.2">
      <c r="A83" s="172">
        <v>60</v>
      </c>
      <c r="B83" s="165" t="s">
        <v>194</v>
      </c>
      <c r="C83" s="171" t="s">
        <v>415</v>
      </c>
      <c r="F83" s="167"/>
      <c r="G83" s="166"/>
      <c r="H83" s="167"/>
    </row>
    <row r="84" spans="1:8" x14ac:dyDescent="0.2">
      <c r="A84" s="172">
        <v>62</v>
      </c>
      <c r="B84" s="165" t="s">
        <v>196</v>
      </c>
      <c r="C84" s="171" t="s">
        <v>414</v>
      </c>
    </row>
    <row r="85" spans="1:8" x14ac:dyDescent="0.2">
      <c r="A85" s="172">
        <v>63</v>
      </c>
      <c r="B85" s="165" t="s">
        <v>187</v>
      </c>
      <c r="C85" s="171" t="s">
        <v>415</v>
      </c>
    </row>
    <row r="86" spans="1:8" x14ac:dyDescent="0.2">
      <c r="A86" s="172">
        <v>64</v>
      </c>
      <c r="B86" s="165" t="s">
        <v>194</v>
      </c>
      <c r="C86" s="171" t="s">
        <v>415</v>
      </c>
    </row>
    <row r="87" spans="1:8" x14ac:dyDescent="0.2">
      <c r="A87" s="172">
        <v>65</v>
      </c>
      <c r="B87" s="165" t="s">
        <v>197</v>
      </c>
      <c r="C87" s="171" t="s">
        <v>415</v>
      </c>
    </row>
    <row r="88" spans="1:8" x14ac:dyDescent="0.2">
      <c r="A88" s="172">
        <v>66</v>
      </c>
      <c r="B88" s="165" t="s">
        <v>197</v>
      </c>
      <c r="C88" s="171" t="s">
        <v>415</v>
      </c>
    </row>
    <row r="89" spans="1:8" x14ac:dyDescent="0.2">
      <c r="A89" s="172">
        <v>67</v>
      </c>
      <c r="B89" s="165" t="s">
        <v>198</v>
      </c>
      <c r="C89" s="171" t="s">
        <v>415</v>
      </c>
    </row>
    <row r="90" spans="1:8" x14ac:dyDescent="0.2">
      <c r="A90" s="172">
        <v>71</v>
      </c>
      <c r="B90" s="165" t="s">
        <v>198</v>
      </c>
      <c r="C90" s="171" t="s">
        <v>415</v>
      </c>
    </row>
    <row r="91" spans="1:8" x14ac:dyDescent="0.2">
      <c r="A91" s="172">
        <v>72</v>
      </c>
      <c r="B91" s="165" t="s">
        <v>198</v>
      </c>
      <c r="C91" s="171" t="s">
        <v>415</v>
      </c>
    </row>
    <row r="92" spans="1:8" x14ac:dyDescent="0.2">
      <c r="A92" s="172">
        <v>73</v>
      </c>
      <c r="B92" s="165" t="s">
        <v>198</v>
      </c>
      <c r="C92" s="171" t="s">
        <v>415</v>
      </c>
    </row>
    <row r="93" spans="1:8" x14ac:dyDescent="0.2">
      <c r="A93" s="172">
        <v>74</v>
      </c>
      <c r="B93" s="165" t="s">
        <v>199</v>
      </c>
      <c r="C93" s="171" t="s">
        <v>415</v>
      </c>
    </row>
    <row r="94" spans="1:8" x14ac:dyDescent="0.2">
      <c r="A94" s="172">
        <v>75</v>
      </c>
      <c r="B94" s="165" t="s">
        <v>200</v>
      </c>
      <c r="C94" s="171" t="s">
        <v>415</v>
      </c>
    </row>
    <row r="95" spans="1:8" x14ac:dyDescent="0.2">
      <c r="A95" s="172">
        <v>76</v>
      </c>
      <c r="B95" s="165" t="s">
        <v>200</v>
      </c>
      <c r="C95" s="171" t="s">
        <v>415</v>
      </c>
    </row>
    <row r="96" spans="1:8" x14ac:dyDescent="0.2">
      <c r="A96" s="172">
        <v>77</v>
      </c>
      <c r="B96" s="165" t="s">
        <v>200</v>
      </c>
      <c r="C96" s="171" t="s">
        <v>415</v>
      </c>
    </row>
    <row r="97" spans="1:3" x14ac:dyDescent="0.2">
      <c r="A97" s="172">
        <v>78</v>
      </c>
      <c r="B97" s="165" t="s">
        <v>201</v>
      </c>
      <c r="C97" s="171" t="s">
        <v>415</v>
      </c>
    </row>
    <row r="98" spans="1:3" x14ac:dyDescent="0.2">
      <c r="A98" s="172">
        <v>79</v>
      </c>
      <c r="B98" s="165" t="s">
        <v>202</v>
      </c>
      <c r="C98" s="171" t="s">
        <v>414</v>
      </c>
    </row>
    <row r="99" spans="1:3" x14ac:dyDescent="0.2">
      <c r="A99" s="172">
        <v>80</v>
      </c>
      <c r="B99" s="165" t="s">
        <v>203</v>
      </c>
      <c r="C99" s="171" t="s">
        <v>415</v>
      </c>
    </row>
    <row r="100" spans="1:3" x14ac:dyDescent="0.2">
      <c r="A100" s="172">
        <v>81</v>
      </c>
      <c r="B100" s="165" t="s">
        <v>204</v>
      </c>
      <c r="C100" s="171" t="s">
        <v>415</v>
      </c>
    </row>
    <row r="101" spans="1:3" x14ac:dyDescent="0.2">
      <c r="A101" s="172">
        <v>82</v>
      </c>
      <c r="B101" s="165" t="s">
        <v>205</v>
      </c>
      <c r="C101" s="171" t="s">
        <v>415</v>
      </c>
    </row>
    <row r="102" spans="1:3" x14ac:dyDescent="0.2">
      <c r="A102" s="172">
        <v>83</v>
      </c>
      <c r="B102" s="165" t="s">
        <v>205</v>
      </c>
      <c r="C102" s="171" t="s">
        <v>415</v>
      </c>
    </row>
    <row r="103" spans="1:3" x14ac:dyDescent="0.2">
      <c r="A103" s="172">
        <v>84</v>
      </c>
      <c r="B103" s="165" t="s">
        <v>205</v>
      </c>
      <c r="C103" s="171" t="s">
        <v>415</v>
      </c>
    </row>
    <row r="104" spans="1:3" x14ac:dyDescent="0.2">
      <c r="A104" s="172">
        <v>85</v>
      </c>
      <c r="B104" s="165" t="s">
        <v>205</v>
      </c>
      <c r="C104" s="171" t="s">
        <v>415</v>
      </c>
    </row>
    <row r="105" spans="1:3" x14ac:dyDescent="0.2">
      <c r="A105" s="172">
        <v>86</v>
      </c>
      <c r="B105" s="165" t="s">
        <v>205</v>
      </c>
      <c r="C105" s="171" t="s">
        <v>415</v>
      </c>
    </row>
    <row r="106" spans="1:3" x14ac:dyDescent="0.2">
      <c r="A106" s="172">
        <v>87</v>
      </c>
      <c r="B106" s="165" t="s">
        <v>205</v>
      </c>
      <c r="C106" s="171" t="s">
        <v>415</v>
      </c>
    </row>
    <row r="107" spans="1:3" x14ac:dyDescent="0.2">
      <c r="A107" s="172">
        <v>88</v>
      </c>
      <c r="B107" s="165" t="s">
        <v>205</v>
      </c>
      <c r="C107" s="171" t="s">
        <v>415</v>
      </c>
    </row>
    <row r="108" spans="1:3" x14ac:dyDescent="0.2">
      <c r="A108" s="172">
        <v>91</v>
      </c>
      <c r="B108" s="165" t="s">
        <v>206</v>
      </c>
      <c r="C108" s="171" t="s">
        <v>415</v>
      </c>
    </row>
    <row r="109" spans="1:3" x14ac:dyDescent="0.2">
      <c r="A109" s="172">
        <v>92</v>
      </c>
      <c r="B109" s="165" t="s">
        <v>206</v>
      </c>
      <c r="C109" s="171" t="s">
        <v>415</v>
      </c>
    </row>
    <row r="110" spans="1:3" x14ac:dyDescent="0.2">
      <c r="A110" s="172">
        <v>93</v>
      </c>
      <c r="B110" s="165" t="s">
        <v>207</v>
      </c>
      <c r="C110" s="171" t="s">
        <v>414</v>
      </c>
    </row>
    <row r="111" spans="1:3" x14ac:dyDescent="0.2">
      <c r="A111" s="172">
        <v>94</v>
      </c>
      <c r="B111" s="165" t="s">
        <v>206</v>
      </c>
      <c r="C111" s="171" t="s">
        <v>415</v>
      </c>
    </row>
    <row r="112" spans="1:3" x14ac:dyDescent="0.2">
      <c r="A112" s="172">
        <v>95</v>
      </c>
      <c r="B112" s="165" t="s">
        <v>206</v>
      </c>
      <c r="C112" s="171" t="s">
        <v>415</v>
      </c>
    </row>
    <row r="113" spans="1:3" x14ac:dyDescent="0.2">
      <c r="A113" s="172">
        <v>96</v>
      </c>
      <c r="B113" s="165" t="s">
        <v>206</v>
      </c>
      <c r="C113" s="171" t="s">
        <v>415</v>
      </c>
    </row>
    <row r="114" spans="1:3" x14ac:dyDescent="0.2">
      <c r="A114" s="172">
        <v>97</v>
      </c>
      <c r="B114" s="165" t="s">
        <v>208</v>
      </c>
      <c r="C114" s="171" t="s">
        <v>415</v>
      </c>
    </row>
    <row r="115" spans="1:3" x14ac:dyDescent="0.2">
      <c r="A115" s="172">
        <v>98</v>
      </c>
      <c r="B115" s="165" t="s">
        <v>209</v>
      </c>
      <c r="C115" s="171" t="s">
        <v>415</v>
      </c>
    </row>
    <row r="116" spans="1:3" x14ac:dyDescent="0.2">
      <c r="A116" s="172">
        <v>99</v>
      </c>
      <c r="B116" s="165" t="s">
        <v>210</v>
      </c>
      <c r="C116" s="171" t="s">
        <v>415</v>
      </c>
    </row>
    <row r="117" spans="1:3" x14ac:dyDescent="0.2">
      <c r="A117" s="172">
        <v>100</v>
      </c>
      <c r="B117" s="165" t="s">
        <v>210</v>
      </c>
      <c r="C117" s="171" t="s">
        <v>415</v>
      </c>
    </row>
    <row r="118" spans="1:3" x14ac:dyDescent="0.2">
      <c r="A118" s="172">
        <v>101</v>
      </c>
      <c r="B118" s="165" t="s">
        <v>211</v>
      </c>
      <c r="C118" s="171" t="s">
        <v>415</v>
      </c>
    </row>
    <row r="119" spans="1:3" x14ac:dyDescent="0.2">
      <c r="A119" s="172">
        <v>102</v>
      </c>
      <c r="B119" s="165" t="s">
        <v>211</v>
      </c>
      <c r="C119" s="171" t="s">
        <v>415</v>
      </c>
    </row>
    <row r="120" spans="1:3" x14ac:dyDescent="0.2">
      <c r="A120" s="172">
        <v>103</v>
      </c>
      <c r="B120" s="165" t="s">
        <v>211</v>
      </c>
      <c r="C120" s="171" t="s">
        <v>415</v>
      </c>
    </row>
    <row r="121" spans="1:3" x14ac:dyDescent="0.2">
      <c r="A121" s="172">
        <v>104</v>
      </c>
      <c r="B121" s="165" t="s">
        <v>212</v>
      </c>
      <c r="C121" s="171" t="s">
        <v>415</v>
      </c>
    </row>
    <row r="122" spans="1:3" x14ac:dyDescent="0.2">
      <c r="A122" s="172">
        <v>105</v>
      </c>
      <c r="B122" s="165" t="s">
        <v>212</v>
      </c>
      <c r="C122" s="171" t="s">
        <v>415</v>
      </c>
    </row>
    <row r="123" spans="1:3" x14ac:dyDescent="0.2">
      <c r="A123" s="172">
        <v>106</v>
      </c>
      <c r="B123" s="165" t="s">
        <v>212</v>
      </c>
      <c r="C123" s="171" t="s">
        <v>415</v>
      </c>
    </row>
    <row r="124" spans="1:3" x14ac:dyDescent="0.2">
      <c r="A124" s="172">
        <v>107</v>
      </c>
      <c r="B124" s="165" t="s">
        <v>212</v>
      </c>
      <c r="C124" s="171" t="s">
        <v>415</v>
      </c>
    </row>
    <row r="125" spans="1:3" x14ac:dyDescent="0.2">
      <c r="A125" s="172">
        <v>108</v>
      </c>
      <c r="B125" s="165" t="s">
        <v>212</v>
      </c>
      <c r="C125" s="171" t="s">
        <v>415</v>
      </c>
    </row>
    <row r="126" spans="1:3" x14ac:dyDescent="0.2">
      <c r="A126" s="172">
        <v>109</v>
      </c>
      <c r="B126" s="165" t="s">
        <v>212</v>
      </c>
      <c r="C126" s="171" t="s">
        <v>415</v>
      </c>
    </row>
    <row r="127" spans="1:3" x14ac:dyDescent="0.2">
      <c r="A127" s="172">
        <v>110</v>
      </c>
      <c r="B127" s="165" t="s">
        <v>212</v>
      </c>
      <c r="C127" s="171" t="s">
        <v>415</v>
      </c>
    </row>
    <row r="128" spans="1:3" x14ac:dyDescent="0.2">
      <c r="A128" s="172">
        <v>111</v>
      </c>
      <c r="B128" s="165" t="s">
        <v>213</v>
      </c>
      <c r="C128" s="171" t="s">
        <v>415</v>
      </c>
    </row>
    <row r="129" spans="1:3" x14ac:dyDescent="0.2">
      <c r="A129" s="172">
        <v>112</v>
      </c>
      <c r="B129" s="165" t="s">
        <v>214</v>
      </c>
      <c r="C129" s="171" t="s">
        <v>415</v>
      </c>
    </row>
    <row r="130" spans="1:3" x14ac:dyDescent="0.2">
      <c r="A130" s="172">
        <v>113</v>
      </c>
      <c r="B130" s="165" t="s">
        <v>214</v>
      </c>
      <c r="C130" s="171" t="s">
        <v>415</v>
      </c>
    </row>
    <row r="131" spans="1:3" x14ac:dyDescent="0.2">
      <c r="A131" s="172">
        <v>115</v>
      </c>
      <c r="B131" s="165" t="s">
        <v>214</v>
      </c>
      <c r="C131" s="171" t="s">
        <v>415</v>
      </c>
    </row>
    <row r="132" spans="1:3" x14ac:dyDescent="0.2">
      <c r="A132" s="172">
        <v>116</v>
      </c>
      <c r="B132" s="165" t="s">
        <v>214</v>
      </c>
      <c r="C132" s="171" t="s">
        <v>415</v>
      </c>
    </row>
    <row r="133" spans="1:3" x14ac:dyDescent="0.2">
      <c r="A133" s="172">
        <v>117</v>
      </c>
      <c r="B133" s="165" t="s">
        <v>214</v>
      </c>
      <c r="C133" s="171" t="s">
        <v>415</v>
      </c>
    </row>
    <row r="134" spans="1:3" x14ac:dyDescent="0.2">
      <c r="A134" s="172">
        <v>118</v>
      </c>
      <c r="B134" s="165" t="s">
        <v>215</v>
      </c>
      <c r="C134" s="171" t="s">
        <v>415</v>
      </c>
    </row>
    <row r="135" spans="1:3" x14ac:dyDescent="0.2">
      <c r="A135" s="172">
        <v>119</v>
      </c>
      <c r="B135" s="165" t="s">
        <v>215</v>
      </c>
      <c r="C135" s="171" t="s">
        <v>415</v>
      </c>
    </row>
    <row r="136" spans="1:3" x14ac:dyDescent="0.2">
      <c r="A136" s="172">
        <v>120</v>
      </c>
      <c r="B136" s="165" t="s">
        <v>187</v>
      </c>
      <c r="C136" s="171" t="s">
        <v>415</v>
      </c>
    </row>
    <row r="137" spans="1:3" x14ac:dyDescent="0.2">
      <c r="A137" s="172">
        <v>121</v>
      </c>
      <c r="B137" s="165" t="s">
        <v>216</v>
      </c>
      <c r="C137" s="171" t="s">
        <v>414</v>
      </c>
    </row>
    <row r="138" spans="1:3" x14ac:dyDescent="0.2">
      <c r="A138" s="172">
        <v>122</v>
      </c>
      <c r="B138" s="165" t="s">
        <v>217</v>
      </c>
      <c r="C138" s="171" t="s">
        <v>414</v>
      </c>
    </row>
    <row r="139" spans="1:3" x14ac:dyDescent="0.2">
      <c r="A139" s="172">
        <v>123</v>
      </c>
      <c r="B139" s="165" t="s">
        <v>218</v>
      </c>
      <c r="C139" s="171" t="s">
        <v>414</v>
      </c>
    </row>
    <row r="140" spans="1:3" x14ac:dyDescent="0.2">
      <c r="A140" s="172">
        <v>124</v>
      </c>
      <c r="B140" s="165" t="s">
        <v>218</v>
      </c>
      <c r="C140" s="171" t="s">
        <v>414</v>
      </c>
    </row>
    <row r="141" spans="1:3" x14ac:dyDescent="0.2">
      <c r="A141" s="172">
        <v>125</v>
      </c>
      <c r="B141" s="165" t="s">
        <v>218</v>
      </c>
      <c r="C141" s="171" t="s">
        <v>414</v>
      </c>
    </row>
    <row r="142" spans="1:3" x14ac:dyDescent="0.2">
      <c r="A142" s="172">
        <v>126</v>
      </c>
      <c r="B142" s="165" t="s">
        <v>219</v>
      </c>
      <c r="C142" s="171" t="s">
        <v>414</v>
      </c>
    </row>
    <row r="143" spans="1:3" x14ac:dyDescent="0.2">
      <c r="A143" s="172">
        <v>127</v>
      </c>
      <c r="B143" s="165" t="s">
        <v>220</v>
      </c>
      <c r="C143" s="171" t="s">
        <v>414</v>
      </c>
    </row>
    <row r="144" spans="1:3" x14ac:dyDescent="0.2">
      <c r="A144" s="172">
        <v>128</v>
      </c>
      <c r="B144" s="165" t="s">
        <v>221</v>
      </c>
      <c r="C144" s="171" t="s">
        <v>414</v>
      </c>
    </row>
    <row r="145" spans="1:3" x14ac:dyDescent="0.2">
      <c r="A145" s="172">
        <v>129</v>
      </c>
      <c r="B145" s="165" t="s">
        <v>220</v>
      </c>
      <c r="C145" s="171" t="s">
        <v>414</v>
      </c>
    </row>
    <row r="146" spans="1:3" x14ac:dyDescent="0.2">
      <c r="A146" s="172">
        <v>130</v>
      </c>
      <c r="B146" s="165" t="s">
        <v>222</v>
      </c>
      <c r="C146" s="171" t="s">
        <v>414</v>
      </c>
    </row>
    <row r="147" spans="1:3" x14ac:dyDescent="0.2">
      <c r="A147" s="172">
        <v>131</v>
      </c>
      <c r="B147" s="165" t="s">
        <v>222</v>
      </c>
      <c r="C147" s="171" t="s">
        <v>414</v>
      </c>
    </row>
    <row r="148" spans="1:3" x14ac:dyDescent="0.2">
      <c r="A148" s="172">
        <v>132</v>
      </c>
      <c r="B148" s="165" t="s">
        <v>223</v>
      </c>
      <c r="C148" s="171" t="s">
        <v>414</v>
      </c>
    </row>
    <row r="149" spans="1:3" x14ac:dyDescent="0.2">
      <c r="A149" s="172">
        <v>133</v>
      </c>
      <c r="B149" s="165" t="s">
        <v>223</v>
      </c>
      <c r="C149" s="171" t="s">
        <v>414</v>
      </c>
    </row>
    <row r="150" spans="1:3" x14ac:dyDescent="0.2">
      <c r="A150" s="172">
        <v>134</v>
      </c>
      <c r="B150" s="165" t="s">
        <v>223</v>
      </c>
      <c r="C150" s="171" t="s">
        <v>414</v>
      </c>
    </row>
    <row r="151" spans="1:3" x14ac:dyDescent="0.2">
      <c r="A151" s="172">
        <v>135</v>
      </c>
      <c r="B151" s="165" t="s">
        <v>223</v>
      </c>
      <c r="C151" s="171" t="s">
        <v>414</v>
      </c>
    </row>
    <row r="152" spans="1:3" x14ac:dyDescent="0.2">
      <c r="A152" s="172">
        <v>136</v>
      </c>
      <c r="B152" s="165" t="s">
        <v>223</v>
      </c>
      <c r="C152" s="171" t="s">
        <v>414</v>
      </c>
    </row>
    <row r="153" spans="1:3" x14ac:dyDescent="0.2">
      <c r="A153" s="172">
        <v>137</v>
      </c>
      <c r="B153" s="165" t="s">
        <v>223</v>
      </c>
      <c r="C153" s="171" t="s">
        <v>414</v>
      </c>
    </row>
    <row r="154" spans="1:3" x14ac:dyDescent="0.2">
      <c r="A154" s="172">
        <v>138</v>
      </c>
      <c r="B154" s="165" t="s">
        <v>223</v>
      </c>
      <c r="C154" s="171" t="s">
        <v>414</v>
      </c>
    </row>
    <row r="155" spans="1:3" x14ac:dyDescent="0.2">
      <c r="A155" s="172">
        <v>140</v>
      </c>
      <c r="B155" s="165" t="s">
        <v>207</v>
      </c>
      <c r="C155" s="171" t="s">
        <v>414</v>
      </c>
    </row>
    <row r="156" spans="1:3" x14ac:dyDescent="0.2">
      <c r="A156" s="172">
        <v>141</v>
      </c>
      <c r="B156" s="165" t="s">
        <v>224</v>
      </c>
      <c r="C156" s="171" t="s">
        <v>414</v>
      </c>
    </row>
    <row r="157" spans="1:3" x14ac:dyDescent="0.2">
      <c r="A157" s="172">
        <v>142</v>
      </c>
      <c r="B157" s="165" t="s">
        <v>224</v>
      </c>
      <c r="C157" s="171" t="s">
        <v>414</v>
      </c>
    </row>
    <row r="158" spans="1:3" x14ac:dyDescent="0.2">
      <c r="A158" s="172">
        <v>143</v>
      </c>
      <c r="B158" s="165" t="s">
        <v>210</v>
      </c>
      <c r="C158" s="171" t="s">
        <v>415</v>
      </c>
    </row>
    <row r="159" spans="1:3" x14ac:dyDescent="0.2">
      <c r="A159" s="172">
        <v>144</v>
      </c>
      <c r="B159" s="165" t="s">
        <v>225</v>
      </c>
      <c r="C159" s="171" t="s">
        <v>414</v>
      </c>
    </row>
    <row r="160" spans="1:3" x14ac:dyDescent="0.2">
      <c r="A160" s="172">
        <v>145</v>
      </c>
      <c r="B160" s="165" t="s">
        <v>225</v>
      </c>
      <c r="C160" s="171" t="s">
        <v>414</v>
      </c>
    </row>
    <row r="161" spans="1:3" x14ac:dyDescent="0.2">
      <c r="A161" s="172">
        <v>146</v>
      </c>
      <c r="B161" s="165" t="s">
        <v>225</v>
      </c>
      <c r="C161" s="171" t="s">
        <v>414</v>
      </c>
    </row>
    <row r="162" spans="1:3" x14ac:dyDescent="0.2">
      <c r="A162" s="172">
        <v>147</v>
      </c>
      <c r="B162" s="165" t="s">
        <v>225</v>
      </c>
      <c r="C162" s="171" t="s">
        <v>414</v>
      </c>
    </row>
    <row r="163" spans="1:3" x14ac:dyDescent="0.2">
      <c r="A163" s="172">
        <v>148</v>
      </c>
      <c r="B163" s="165" t="s">
        <v>226</v>
      </c>
      <c r="C163" s="171" t="s">
        <v>414</v>
      </c>
    </row>
    <row r="164" spans="1:3" x14ac:dyDescent="0.2">
      <c r="A164" s="172">
        <v>149</v>
      </c>
      <c r="B164" s="165" t="s">
        <v>227</v>
      </c>
      <c r="C164" s="171" t="s">
        <v>414</v>
      </c>
    </row>
    <row r="165" spans="1:3" x14ac:dyDescent="0.2">
      <c r="A165" s="172">
        <v>150</v>
      </c>
      <c r="B165" s="165" t="s">
        <v>219</v>
      </c>
      <c r="C165" s="171" t="s">
        <v>414</v>
      </c>
    </row>
    <row r="166" spans="1:3" x14ac:dyDescent="0.2">
      <c r="A166" s="172">
        <v>151</v>
      </c>
      <c r="B166" s="165" t="s">
        <v>219</v>
      </c>
      <c r="C166" s="171" t="s">
        <v>414</v>
      </c>
    </row>
    <row r="167" spans="1:3" x14ac:dyDescent="0.2">
      <c r="A167" s="172">
        <v>152</v>
      </c>
      <c r="B167" s="165" t="s">
        <v>219</v>
      </c>
      <c r="C167" s="171" t="s">
        <v>414</v>
      </c>
    </row>
    <row r="168" spans="1:3" x14ac:dyDescent="0.2">
      <c r="A168" s="172">
        <v>153</v>
      </c>
      <c r="B168" s="165" t="s">
        <v>219</v>
      </c>
      <c r="C168" s="171" t="s">
        <v>414</v>
      </c>
    </row>
    <row r="169" spans="1:3" x14ac:dyDescent="0.2">
      <c r="A169" s="172">
        <v>154</v>
      </c>
      <c r="B169" s="165" t="s">
        <v>219</v>
      </c>
      <c r="C169" s="171" t="s">
        <v>414</v>
      </c>
    </row>
    <row r="170" spans="1:3" x14ac:dyDescent="0.2">
      <c r="A170" s="172">
        <v>155</v>
      </c>
      <c r="B170" s="165" t="s">
        <v>207</v>
      </c>
      <c r="C170" s="171" t="s">
        <v>415</v>
      </c>
    </row>
    <row r="171" spans="1:3" x14ac:dyDescent="0.2">
      <c r="A171" s="172">
        <v>156</v>
      </c>
      <c r="B171" s="165" t="s">
        <v>219</v>
      </c>
      <c r="C171" s="171" t="s">
        <v>414</v>
      </c>
    </row>
    <row r="172" spans="1:3" x14ac:dyDescent="0.2">
      <c r="A172" s="172">
        <v>157</v>
      </c>
      <c r="B172" s="165" t="s">
        <v>219</v>
      </c>
      <c r="C172" s="171" t="s">
        <v>414</v>
      </c>
    </row>
    <row r="173" spans="1:3" x14ac:dyDescent="0.2">
      <c r="A173" s="172">
        <v>158</v>
      </c>
      <c r="B173" s="165" t="s">
        <v>219</v>
      </c>
      <c r="C173" s="171" t="s">
        <v>414</v>
      </c>
    </row>
    <row r="174" spans="1:3" x14ac:dyDescent="0.2">
      <c r="A174" s="172">
        <v>159</v>
      </c>
      <c r="B174" s="165" t="s">
        <v>194</v>
      </c>
      <c r="C174" s="171" t="s">
        <v>415</v>
      </c>
    </row>
    <row r="175" spans="1:3" x14ac:dyDescent="0.2">
      <c r="A175" s="172">
        <v>160</v>
      </c>
      <c r="B175" s="165" t="s">
        <v>219</v>
      </c>
      <c r="C175" s="171" t="s">
        <v>414</v>
      </c>
    </row>
    <row r="176" spans="1:3" x14ac:dyDescent="0.2">
      <c r="A176" s="172">
        <v>161</v>
      </c>
      <c r="B176" s="165" t="s">
        <v>219</v>
      </c>
      <c r="C176" s="171" t="s">
        <v>414</v>
      </c>
    </row>
    <row r="177" spans="1:3" x14ac:dyDescent="0.2">
      <c r="A177" s="172">
        <v>162</v>
      </c>
      <c r="B177" s="165" t="s">
        <v>219</v>
      </c>
      <c r="C177" s="171" t="s">
        <v>414</v>
      </c>
    </row>
    <row r="178" spans="1:3" x14ac:dyDescent="0.2">
      <c r="A178" s="172">
        <v>163</v>
      </c>
      <c r="B178" s="165" t="s">
        <v>219</v>
      </c>
      <c r="C178" s="171" t="s">
        <v>414</v>
      </c>
    </row>
    <row r="179" spans="1:3" x14ac:dyDescent="0.2">
      <c r="A179" s="172">
        <v>164</v>
      </c>
      <c r="B179" s="165" t="s">
        <v>219</v>
      </c>
      <c r="C179" s="171" t="s">
        <v>414</v>
      </c>
    </row>
    <row r="180" spans="1:3" x14ac:dyDescent="0.2">
      <c r="A180" s="172">
        <v>165</v>
      </c>
      <c r="B180" s="165" t="s">
        <v>219</v>
      </c>
      <c r="C180" s="171" t="s">
        <v>414</v>
      </c>
    </row>
    <row r="181" spans="1:3" x14ac:dyDescent="0.2">
      <c r="A181" s="172">
        <v>166</v>
      </c>
      <c r="B181" s="165" t="s">
        <v>219</v>
      </c>
      <c r="C181" s="171" t="s">
        <v>414</v>
      </c>
    </row>
    <row r="182" spans="1:3" x14ac:dyDescent="0.2">
      <c r="A182" s="172">
        <v>167</v>
      </c>
      <c r="B182" s="165" t="s">
        <v>219</v>
      </c>
      <c r="C182" s="171" t="s">
        <v>414</v>
      </c>
    </row>
    <row r="183" spans="1:3" x14ac:dyDescent="0.2">
      <c r="A183" s="172">
        <v>168</v>
      </c>
      <c r="B183" s="165" t="s">
        <v>219</v>
      </c>
      <c r="C183" s="171" t="s">
        <v>414</v>
      </c>
    </row>
    <row r="184" spans="1:3" x14ac:dyDescent="0.2">
      <c r="A184" s="172">
        <v>169</v>
      </c>
      <c r="B184" s="165" t="s">
        <v>219</v>
      </c>
      <c r="C184" s="171" t="s">
        <v>414</v>
      </c>
    </row>
    <row r="185" spans="1:3" x14ac:dyDescent="0.2">
      <c r="A185" s="172">
        <v>170</v>
      </c>
      <c r="B185" s="165" t="s">
        <v>219</v>
      </c>
      <c r="C185" s="171" t="s">
        <v>414</v>
      </c>
    </row>
    <row r="186" spans="1:3" x14ac:dyDescent="0.2">
      <c r="A186" s="172">
        <v>171</v>
      </c>
      <c r="B186" s="165" t="s">
        <v>219</v>
      </c>
      <c r="C186" s="171" t="s">
        <v>414</v>
      </c>
    </row>
    <row r="187" spans="1:3" x14ac:dyDescent="0.2">
      <c r="A187" s="172">
        <v>172</v>
      </c>
      <c r="B187" s="165" t="s">
        <v>219</v>
      </c>
      <c r="C187" s="171" t="s">
        <v>414</v>
      </c>
    </row>
    <row r="188" spans="1:3" x14ac:dyDescent="0.2">
      <c r="A188" s="172">
        <v>173</v>
      </c>
      <c r="B188" s="165" t="s">
        <v>219</v>
      </c>
      <c r="C188" s="171" t="s">
        <v>414</v>
      </c>
    </row>
    <row r="189" spans="1:3" x14ac:dyDescent="0.2">
      <c r="A189" s="172">
        <v>174</v>
      </c>
      <c r="B189" s="165" t="s">
        <v>219</v>
      </c>
      <c r="C189" s="171" t="s">
        <v>414</v>
      </c>
    </row>
    <row r="190" spans="1:3" x14ac:dyDescent="0.2">
      <c r="A190" s="172">
        <v>175</v>
      </c>
      <c r="B190" s="165" t="s">
        <v>219</v>
      </c>
      <c r="C190" s="171" t="s">
        <v>414</v>
      </c>
    </row>
    <row r="191" spans="1:3" x14ac:dyDescent="0.2">
      <c r="A191" s="172">
        <v>176</v>
      </c>
      <c r="B191" s="165" t="s">
        <v>219</v>
      </c>
      <c r="C191" s="171" t="s">
        <v>414</v>
      </c>
    </row>
    <row r="192" spans="1:3" x14ac:dyDescent="0.2">
      <c r="A192" s="172">
        <v>177</v>
      </c>
      <c r="B192" s="165" t="s">
        <v>219</v>
      </c>
      <c r="C192" s="171" t="s">
        <v>414</v>
      </c>
    </row>
    <row r="193" spans="1:3" x14ac:dyDescent="0.2">
      <c r="A193" s="172">
        <v>178</v>
      </c>
      <c r="B193" s="165" t="s">
        <v>228</v>
      </c>
      <c r="C193" s="171" t="s">
        <v>414</v>
      </c>
    </row>
    <row r="194" spans="1:3" x14ac:dyDescent="0.2">
      <c r="A194" s="172">
        <v>179</v>
      </c>
      <c r="B194" s="165" t="s">
        <v>219</v>
      </c>
      <c r="C194" s="171" t="s">
        <v>414</v>
      </c>
    </row>
    <row r="195" spans="1:3" x14ac:dyDescent="0.2">
      <c r="A195" s="172">
        <v>180</v>
      </c>
      <c r="B195" s="165" t="s">
        <v>219</v>
      </c>
      <c r="C195" s="171" t="s">
        <v>414</v>
      </c>
    </row>
    <row r="196" spans="1:3" x14ac:dyDescent="0.2">
      <c r="A196" s="172">
        <v>181</v>
      </c>
      <c r="B196" s="165" t="s">
        <v>219</v>
      </c>
      <c r="C196" s="171" t="s">
        <v>414</v>
      </c>
    </row>
    <row r="197" spans="1:3" x14ac:dyDescent="0.2">
      <c r="A197" s="172">
        <v>182</v>
      </c>
      <c r="B197" s="165" t="s">
        <v>219</v>
      </c>
      <c r="C197" s="171" t="s">
        <v>414</v>
      </c>
    </row>
    <row r="198" spans="1:3" x14ac:dyDescent="0.2">
      <c r="A198" s="172">
        <v>183</v>
      </c>
      <c r="B198" s="165" t="s">
        <v>219</v>
      </c>
      <c r="C198" s="171" t="s">
        <v>414</v>
      </c>
    </row>
    <row r="199" spans="1:3" x14ac:dyDescent="0.2">
      <c r="A199" s="172">
        <v>184</v>
      </c>
      <c r="B199" s="165" t="s">
        <v>219</v>
      </c>
      <c r="C199" s="171" t="s">
        <v>414</v>
      </c>
    </row>
    <row r="200" spans="1:3" x14ac:dyDescent="0.2">
      <c r="A200" s="172">
        <v>185</v>
      </c>
      <c r="B200" s="165" t="s">
        <v>219</v>
      </c>
      <c r="C200" s="171" t="s">
        <v>414</v>
      </c>
    </row>
    <row r="201" spans="1:3" x14ac:dyDescent="0.2">
      <c r="A201" s="172">
        <v>186</v>
      </c>
      <c r="B201" s="165" t="s">
        <v>219</v>
      </c>
      <c r="C201" s="171" t="s">
        <v>414</v>
      </c>
    </row>
    <row r="202" spans="1:3" x14ac:dyDescent="0.2">
      <c r="A202" s="172">
        <v>187</v>
      </c>
      <c r="B202" s="165" t="s">
        <v>219</v>
      </c>
      <c r="C202" s="171" t="s">
        <v>414</v>
      </c>
    </row>
    <row r="203" spans="1:3" x14ac:dyDescent="0.2">
      <c r="A203" s="172">
        <v>188</v>
      </c>
      <c r="B203" s="165" t="s">
        <v>219</v>
      </c>
      <c r="C203" s="171" t="s">
        <v>414</v>
      </c>
    </row>
    <row r="204" spans="1:3" x14ac:dyDescent="0.2">
      <c r="A204" s="172">
        <v>189</v>
      </c>
      <c r="B204" s="165" t="s">
        <v>219</v>
      </c>
      <c r="C204" s="171" t="s">
        <v>415</v>
      </c>
    </row>
    <row r="205" spans="1:3" x14ac:dyDescent="0.2">
      <c r="A205" s="172">
        <v>190</v>
      </c>
      <c r="B205" s="165" t="s">
        <v>219</v>
      </c>
      <c r="C205" s="171" t="s">
        <v>415</v>
      </c>
    </row>
    <row r="206" spans="1:3" x14ac:dyDescent="0.2">
      <c r="A206" s="172">
        <v>191</v>
      </c>
      <c r="B206" s="165" t="s">
        <v>219</v>
      </c>
      <c r="C206" s="171" t="s">
        <v>415</v>
      </c>
    </row>
    <row r="207" spans="1:3" x14ac:dyDescent="0.2">
      <c r="A207" s="172">
        <v>192</v>
      </c>
      <c r="B207" s="165" t="s">
        <v>219</v>
      </c>
      <c r="C207" s="171" t="s">
        <v>415</v>
      </c>
    </row>
    <row r="208" spans="1:3" x14ac:dyDescent="0.2">
      <c r="A208" s="172">
        <v>193</v>
      </c>
      <c r="B208" s="165" t="s">
        <v>219</v>
      </c>
      <c r="C208" s="171" t="s">
        <v>415</v>
      </c>
    </row>
    <row r="209" spans="1:3" x14ac:dyDescent="0.2">
      <c r="A209" s="172">
        <v>194</v>
      </c>
      <c r="B209" s="165" t="s">
        <v>219</v>
      </c>
      <c r="C209" s="171" t="s">
        <v>415</v>
      </c>
    </row>
    <row r="210" spans="1:3" x14ac:dyDescent="0.2">
      <c r="A210" s="172">
        <v>195</v>
      </c>
      <c r="B210" s="165" t="s">
        <v>219</v>
      </c>
      <c r="C210" s="171" t="s">
        <v>415</v>
      </c>
    </row>
    <row r="211" spans="1:3" x14ac:dyDescent="0.2">
      <c r="A211" s="172">
        <v>196</v>
      </c>
      <c r="B211" s="165" t="s">
        <v>219</v>
      </c>
      <c r="C211" s="171" t="s">
        <v>415</v>
      </c>
    </row>
    <row r="212" spans="1:3" x14ac:dyDescent="0.2">
      <c r="A212" s="172">
        <v>197</v>
      </c>
      <c r="B212" s="165" t="s">
        <v>219</v>
      </c>
      <c r="C212" s="171" t="s">
        <v>415</v>
      </c>
    </row>
    <row r="213" spans="1:3" x14ac:dyDescent="0.2">
      <c r="A213" s="172">
        <v>198</v>
      </c>
      <c r="B213" s="165" t="s">
        <v>219</v>
      </c>
      <c r="C213" s="171" t="s">
        <v>415</v>
      </c>
    </row>
    <row r="214" spans="1:3" x14ac:dyDescent="0.2">
      <c r="A214" s="172">
        <v>199</v>
      </c>
      <c r="B214" s="165" t="s">
        <v>219</v>
      </c>
      <c r="C214" s="171" t="s">
        <v>415</v>
      </c>
    </row>
    <row r="215" spans="1:3" x14ac:dyDescent="0.2">
      <c r="A215" s="172">
        <v>201</v>
      </c>
      <c r="B215" s="165" t="s">
        <v>219</v>
      </c>
      <c r="C215" s="171" t="s">
        <v>415</v>
      </c>
    </row>
    <row r="216" spans="1:3" x14ac:dyDescent="0.2">
      <c r="A216" s="172">
        <v>202</v>
      </c>
      <c r="B216" s="165" t="s">
        <v>219</v>
      </c>
      <c r="C216" s="171" t="s">
        <v>415</v>
      </c>
    </row>
    <row r="217" spans="1:3" x14ac:dyDescent="0.2">
      <c r="A217" s="172">
        <v>203</v>
      </c>
      <c r="B217" s="165" t="s">
        <v>219</v>
      </c>
      <c r="C217" s="171" t="s">
        <v>415</v>
      </c>
    </row>
    <row r="218" spans="1:3" x14ac:dyDescent="0.2">
      <c r="A218" s="172">
        <v>204</v>
      </c>
      <c r="B218" s="165" t="s">
        <v>219</v>
      </c>
      <c r="C218" s="171" t="s">
        <v>415</v>
      </c>
    </row>
    <row r="219" spans="1:3" x14ac:dyDescent="0.2">
      <c r="A219" s="172">
        <v>205</v>
      </c>
      <c r="B219" s="165" t="s">
        <v>219</v>
      </c>
      <c r="C219" s="171" t="s">
        <v>415</v>
      </c>
    </row>
    <row r="220" spans="1:3" x14ac:dyDescent="0.2">
      <c r="A220" s="172">
        <v>206</v>
      </c>
      <c r="B220" s="165" t="s">
        <v>219</v>
      </c>
      <c r="C220" s="171" t="s">
        <v>415</v>
      </c>
    </row>
    <row r="221" spans="1:3" x14ac:dyDescent="0.2">
      <c r="A221" s="172">
        <v>207</v>
      </c>
      <c r="B221" s="165" t="s">
        <v>219</v>
      </c>
      <c r="C221" s="171" t="s">
        <v>415</v>
      </c>
    </row>
    <row r="222" spans="1:3" x14ac:dyDescent="0.2">
      <c r="A222" s="172">
        <v>208</v>
      </c>
      <c r="B222" s="165" t="s">
        <v>219</v>
      </c>
      <c r="C222" s="171" t="s">
        <v>415</v>
      </c>
    </row>
    <row r="223" spans="1:3" x14ac:dyDescent="0.2">
      <c r="A223" s="172">
        <v>209</v>
      </c>
      <c r="B223" s="165" t="s">
        <v>219</v>
      </c>
      <c r="C223" s="171" t="s">
        <v>414</v>
      </c>
    </row>
    <row r="224" spans="1:3" x14ac:dyDescent="0.2">
      <c r="A224" s="172">
        <v>210</v>
      </c>
      <c r="B224" s="165" t="s">
        <v>219</v>
      </c>
      <c r="C224" s="171" t="s">
        <v>414</v>
      </c>
    </row>
    <row r="225" spans="1:3" x14ac:dyDescent="0.2">
      <c r="A225" s="172">
        <v>211</v>
      </c>
      <c r="B225" s="165" t="s">
        <v>219</v>
      </c>
      <c r="C225" s="171" t="s">
        <v>414</v>
      </c>
    </row>
    <row r="226" spans="1:3" x14ac:dyDescent="0.2">
      <c r="A226" s="172">
        <v>212</v>
      </c>
      <c r="B226" s="165" t="s">
        <v>219</v>
      </c>
      <c r="C226" s="171" t="s">
        <v>414</v>
      </c>
    </row>
    <row r="227" spans="1:3" x14ac:dyDescent="0.2">
      <c r="A227" s="172">
        <v>213</v>
      </c>
      <c r="B227" s="165" t="s">
        <v>219</v>
      </c>
      <c r="C227" s="171" t="s">
        <v>414</v>
      </c>
    </row>
    <row r="228" spans="1:3" x14ac:dyDescent="0.2">
      <c r="A228" s="172">
        <v>214</v>
      </c>
      <c r="B228" s="165" t="s">
        <v>219</v>
      </c>
      <c r="C228" s="171" t="s">
        <v>414</v>
      </c>
    </row>
    <row r="229" spans="1:3" x14ac:dyDescent="0.2">
      <c r="A229" s="172">
        <v>215</v>
      </c>
      <c r="B229" s="165" t="s">
        <v>219</v>
      </c>
      <c r="C229" s="171" t="s">
        <v>414</v>
      </c>
    </row>
    <row r="230" spans="1:3" x14ac:dyDescent="0.2">
      <c r="A230" s="172">
        <v>216</v>
      </c>
      <c r="B230" s="165" t="s">
        <v>219</v>
      </c>
      <c r="C230" s="171" t="s">
        <v>414</v>
      </c>
    </row>
    <row r="231" spans="1:3" x14ac:dyDescent="0.2">
      <c r="A231" s="172">
        <v>217</v>
      </c>
      <c r="B231" s="165" t="s">
        <v>219</v>
      </c>
      <c r="C231" s="171" t="s">
        <v>414</v>
      </c>
    </row>
    <row r="232" spans="1:3" x14ac:dyDescent="0.2">
      <c r="A232" s="172">
        <v>218</v>
      </c>
      <c r="B232" s="165" t="s">
        <v>219</v>
      </c>
      <c r="C232" s="171" t="s">
        <v>414</v>
      </c>
    </row>
    <row r="233" spans="1:3" x14ac:dyDescent="0.2">
      <c r="A233" s="172">
        <v>219</v>
      </c>
      <c r="B233" s="165" t="s">
        <v>219</v>
      </c>
      <c r="C233" s="171" t="s">
        <v>414</v>
      </c>
    </row>
    <row r="234" spans="1:3" x14ac:dyDescent="0.2">
      <c r="A234" s="172">
        <v>220</v>
      </c>
      <c r="B234" s="165" t="s">
        <v>219</v>
      </c>
      <c r="C234" s="171" t="s">
        <v>414</v>
      </c>
    </row>
    <row r="235" spans="1:3" x14ac:dyDescent="0.2">
      <c r="A235" s="172">
        <v>221</v>
      </c>
      <c r="B235" s="165" t="s">
        <v>219</v>
      </c>
      <c r="C235" s="171" t="s">
        <v>414</v>
      </c>
    </row>
    <row r="236" spans="1:3" x14ac:dyDescent="0.2">
      <c r="A236" s="172">
        <v>222</v>
      </c>
      <c r="B236" s="165" t="s">
        <v>219</v>
      </c>
      <c r="C236" s="171" t="s">
        <v>414</v>
      </c>
    </row>
    <row r="237" spans="1:3" x14ac:dyDescent="0.2">
      <c r="A237" s="172">
        <v>223</v>
      </c>
      <c r="B237" s="165" t="s">
        <v>219</v>
      </c>
      <c r="C237" s="171" t="s">
        <v>414</v>
      </c>
    </row>
    <row r="238" spans="1:3" x14ac:dyDescent="0.2">
      <c r="A238" s="172">
        <v>224</v>
      </c>
      <c r="B238" s="165" t="s">
        <v>219</v>
      </c>
      <c r="C238" s="171" t="s">
        <v>414</v>
      </c>
    </row>
    <row r="239" spans="1:3" x14ac:dyDescent="0.2">
      <c r="A239" s="172">
        <v>225</v>
      </c>
      <c r="B239" s="165" t="s">
        <v>219</v>
      </c>
      <c r="C239" s="171" t="s">
        <v>414</v>
      </c>
    </row>
    <row r="240" spans="1:3" x14ac:dyDescent="0.2">
      <c r="A240" s="172">
        <v>226</v>
      </c>
      <c r="B240" s="165" t="s">
        <v>219</v>
      </c>
      <c r="C240" s="171" t="s">
        <v>414</v>
      </c>
    </row>
    <row r="241" spans="1:3" x14ac:dyDescent="0.2">
      <c r="A241" s="172">
        <v>227</v>
      </c>
      <c r="B241" s="165" t="s">
        <v>219</v>
      </c>
      <c r="C241" s="171" t="s">
        <v>414</v>
      </c>
    </row>
    <row r="242" spans="1:3" x14ac:dyDescent="0.2">
      <c r="A242" s="172">
        <v>228</v>
      </c>
      <c r="B242" s="165" t="s">
        <v>229</v>
      </c>
      <c r="C242" s="171" t="s">
        <v>415</v>
      </c>
    </row>
    <row r="243" spans="1:3" x14ac:dyDescent="0.2">
      <c r="A243" s="172">
        <v>229</v>
      </c>
      <c r="B243" s="165" t="s">
        <v>229</v>
      </c>
      <c r="C243" s="171" t="s">
        <v>415</v>
      </c>
    </row>
    <row r="244" spans="1:3" x14ac:dyDescent="0.2">
      <c r="A244" s="172">
        <v>230</v>
      </c>
      <c r="B244" s="165" t="s">
        <v>219</v>
      </c>
      <c r="C244" s="171" t="s">
        <v>415</v>
      </c>
    </row>
    <row r="245" spans="1:3" x14ac:dyDescent="0.2">
      <c r="A245" s="172">
        <v>231</v>
      </c>
      <c r="B245" s="165" t="s">
        <v>207</v>
      </c>
      <c r="C245" s="171" t="s">
        <v>414</v>
      </c>
    </row>
    <row r="246" spans="1:3" x14ac:dyDescent="0.2">
      <c r="A246" s="172">
        <v>233</v>
      </c>
      <c r="B246" s="165" t="s">
        <v>207</v>
      </c>
      <c r="C246" s="171" t="s">
        <v>414</v>
      </c>
    </row>
    <row r="247" spans="1:3" x14ac:dyDescent="0.2">
      <c r="A247" s="172">
        <v>234</v>
      </c>
      <c r="B247" s="165" t="s">
        <v>207</v>
      </c>
      <c r="C247" s="171" t="s">
        <v>414</v>
      </c>
    </row>
    <row r="248" spans="1:3" x14ac:dyDescent="0.2">
      <c r="A248" s="172">
        <v>235</v>
      </c>
      <c r="B248" s="165" t="s">
        <v>207</v>
      </c>
      <c r="C248" s="171" t="s">
        <v>414</v>
      </c>
    </row>
    <row r="249" spans="1:3" x14ac:dyDescent="0.2">
      <c r="A249" s="172">
        <v>236</v>
      </c>
      <c r="B249" s="165" t="s">
        <v>207</v>
      </c>
      <c r="C249" s="171" t="s">
        <v>414</v>
      </c>
    </row>
    <row r="250" spans="1:3" x14ac:dyDescent="0.2">
      <c r="A250" s="172">
        <v>237</v>
      </c>
      <c r="B250" s="165" t="s">
        <v>207</v>
      </c>
      <c r="C250" s="171" t="s">
        <v>414</v>
      </c>
    </row>
    <row r="251" spans="1:3" x14ac:dyDescent="0.2">
      <c r="A251" s="172">
        <v>238</v>
      </c>
      <c r="B251" s="165" t="s">
        <v>219</v>
      </c>
      <c r="C251" s="171" t="s">
        <v>414</v>
      </c>
    </row>
    <row r="252" spans="1:3" x14ac:dyDescent="0.2">
      <c r="A252" s="172">
        <v>241</v>
      </c>
      <c r="B252" s="165" t="s">
        <v>230</v>
      </c>
      <c r="C252" s="171" t="s">
        <v>414</v>
      </c>
    </row>
    <row r="253" spans="1:3" x14ac:dyDescent="0.2">
      <c r="A253" s="172">
        <v>242</v>
      </c>
      <c r="B253" s="165" t="s">
        <v>231</v>
      </c>
      <c r="C253" s="171" t="s">
        <v>414</v>
      </c>
    </row>
    <row r="254" spans="1:3" x14ac:dyDescent="0.2">
      <c r="A254" s="172">
        <v>243</v>
      </c>
      <c r="B254" s="165" t="s">
        <v>195</v>
      </c>
      <c r="C254" s="171" t="s">
        <v>414</v>
      </c>
    </row>
    <row r="255" spans="1:3" x14ac:dyDescent="0.2">
      <c r="A255" s="172">
        <v>244</v>
      </c>
      <c r="B255" s="165" t="s">
        <v>219</v>
      </c>
      <c r="C255" s="171" t="s">
        <v>414</v>
      </c>
    </row>
    <row r="256" spans="1:3" x14ac:dyDescent="0.2">
      <c r="A256" s="172">
        <v>245</v>
      </c>
      <c r="B256" s="165" t="s">
        <v>231</v>
      </c>
      <c r="C256" s="171" t="s">
        <v>414</v>
      </c>
    </row>
    <row r="257" spans="1:3" x14ac:dyDescent="0.2">
      <c r="A257" s="172">
        <v>246</v>
      </c>
      <c r="B257" s="165" t="s">
        <v>232</v>
      </c>
      <c r="C257" s="171" t="s">
        <v>414</v>
      </c>
    </row>
    <row r="258" spans="1:3" x14ac:dyDescent="0.2">
      <c r="A258" s="172">
        <v>247</v>
      </c>
      <c r="B258" s="165" t="s">
        <v>231</v>
      </c>
      <c r="C258" s="171" t="s">
        <v>414</v>
      </c>
    </row>
    <row r="259" spans="1:3" x14ac:dyDescent="0.2">
      <c r="A259" s="172">
        <v>248</v>
      </c>
      <c r="B259" s="165" t="s">
        <v>219</v>
      </c>
      <c r="C259" s="171" t="s">
        <v>414</v>
      </c>
    </row>
    <row r="260" spans="1:3" x14ac:dyDescent="0.2">
      <c r="A260" s="172">
        <v>249</v>
      </c>
      <c r="B260" s="165" t="s">
        <v>231</v>
      </c>
      <c r="C260" s="171" t="s">
        <v>414</v>
      </c>
    </row>
    <row r="261" spans="1:3" x14ac:dyDescent="0.2">
      <c r="A261" s="172">
        <v>250</v>
      </c>
      <c r="B261" s="165" t="s">
        <v>233</v>
      </c>
      <c r="C261" s="171" t="s">
        <v>415</v>
      </c>
    </row>
    <row r="262" spans="1:3" x14ac:dyDescent="0.2">
      <c r="A262" s="172">
        <v>251</v>
      </c>
      <c r="B262" s="165" t="s">
        <v>233</v>
      </c>
      <c r="C262" s="171" t="s">
        <v>415</v>
      </c>
    </row>
    <row r="263" spans="1:3" x14ac:dyDescent="0.2">
      <c r="A263" s="172">
        <v>252</v>
      </c>
      <c r="B263" s="165" t="s">
        <v>233</v>
      </c>
      <c r="C263" s="171" t="s">
        <v>415</v>
      </c>
    </row>
    <row r="264" spans="1:3" x14ac:dyDescent="0.2">
      <c r="A264" s="172">
        <v>253</v>
      </c>
      <c r="B264" s="165" t="s">
        <v>233</v>
      </c>
      <c r="C264" s="171" t="s">
        <v>415</v>
      </c>
    </row>
    <row r="265" spans="1:3" x14ac:dyDescent="0.2">
      <c r="A265" s="172">
        <v>254</v>
      </c>
      <c r="B265" s="165" t="s">
        <v>234</v>
      </c>
      <c r="C265" s="171" t="s">
        <v>414</v>
      </c>
    </row>
    <row r="266" spans="1:3" x14ac:dyDescent="0.2">
      <c r="A266" s="172">
        <v>255</v>
      </c>
      <c r="B266" s="165" t="s">
        <v>235</v>
      </c>
      <c r="C266" s="171" t="s">
        <v>414</v>
      </c>
    </row>
    <row r="267" spans="1:3" x14ac:dyDescent="0.2">
      <c r="A267" s="172">
        <v>257</v>
      </c>
      <c r="B267" s="165" t="s">
        <v>236</v>
      </c>
      <c r="C267" s="171" t="s">
        <v>414</v>
      </c>
    </row>
    <row r="268" spans="1:3" x14ac:dyDescent="0.2">
      <c r="A268" s="172">
        <v>258</v>
      </c>
      <c r="B268" s="165" t="s">
        <v>237</v>
      </c>
      <c r="C268" s="171" t="s">
        <v>414</v>
      </c>
    </row>
    <row r="269" spans="1:3" x14ac:dyDescent="0.2">
      <c r="A269" s="172">
        <v>259</v>
      </c>
      <c r="B269" s="165" t="s">
        <v>238</v>
      </c>
      <c r="C269" s="171" t="s">
        <v>414</v>
      </c>
    </row>
    <row r="270" spans="1:3" x14ac:dyDescent="0.2">
      <c r="A270" s="172">
        <v>260</v>
      </c>
      <c r="B270" s="165" t="s">
        <v>237</v>
      </c>
      <c r="C270" s="171" t="s">
        <v>415</v>
      </c>
    </row>
    <row r="271" spans="1:3" x14ac:dyDescent="0.2">
      <c r="A271" s="172">
        <v>261</v>
      </c>
      <c r="B271" s="165" t="s">
        <v>237</v>
      </c>
      <c r="C271" s="171" t="s">
        <v>414</v>
      </c>
    </row>
    <row r="272" spans="1:3" x14ac:dyDescent="0.2">
      <c r="A272" s="172">
        <v>262</v>
      </c>
      <c r="B272" s="165" t="s">
        <v>237</v>
      </c>
      <c r="C272" s="171" t="s">
        <v>414</v>
      </c>
    </row>
    <row r="273" spans="1:3" x14ac:dyDescent="0.2">
      <c r="A273" s="172">
        <v>263</v>
      </c>
      <c r="B273" s="165" t="s">
        <v>237</v>
      </c>
      <c r="C273" s="171" t="s">
        <v>414</v>
      </c>
    </row>
    <row r="274" spans="1:3" x14ac:dyDescent="0.2">
      <c r="A274" s="172">
        <v>264</v>
      </c>
      <c r="B274" s="165" t="s">
        <v>237</v>
      </c>
      <c r="C274" s="171" t="s">
        <v>414</v>
      </c>
    </row>
    <row r="275" spans="1:3" x14ac:dyDescent="0.2">
      <c r="A275" s="172">
        <v>265</v>
      </c>
      <c r="B275" s="165" t="s">
        <v>239</v>
      </c>
      <c r="C275" s="171" t="s">
        <v>415</v>
      </c>
    </row>
    <row r="276" spans="1:3" x14ac:dyDescent="0.2">
      <c r="A276" s="172">
        <v>266</v>
      </c>
      <c r="B276" s="165" t="s">
        <v>239</v>
      </c>
      <c r="C276" s="171" t="s">
        <v>415</v>
      </c>
    </row>
    <row r="277" spans="1:3" x14ac:dyDescent="0.2">
      <c r="A277" s="172">
        <v>267</v>
      </c>
      <c r="B277" s="165" t="s">
        <v>239</v>
      </c>
      <c r="C277" s="171" t="s">
        <v>415</v>
      </c>
    </row>
    <row r="278" spans="1:3" x14ac:dyDescent="0.2">
      <c r="A278" s="172">
        <v>268</v>
      </c>
      <c r="B278" s="165" t="s">
        <v>239</v>
      </c>
      <c r="C278" s="171" t="s">
        <v>415</v>
      </c>
    </row>
    <row r="279" spans="1:3" x14ac:dyDescent="0.2">
      <c r="A279" s="172">
        <v>269</v>
      </c>
      <c r="B279" s="165" t="s">
        <v>239</v>
      </c>
      <c r="C279" s="171" t="s">
        <v>415</v>
      </c>
    </row>
    <row r="280" spans="1:3" x14ac:dyDescent="0.2">
      <c r="A280" s="172">
        <v>270</v>
      </c>
      <c r="B280" s="165" t="s">
        <v>239</v>
      </c>
      <c r="C280" s="171" t="s">
        <v>415</v>
      </c>
    </row>
    <row r="281" spans="1:3" x14ac:dyDescent="0.2">
      <c r="A281" s="172">
        <v>271</v>
      </c>
      <c r="B281" s="165" t="s">
        <v>239</v>
      </c>
      <c r="C281" s="171" t="s">
        <v>415</v>
      </c>
    </row>
    <row r="282" spans="1:3" x14ac:dyDescent="0.2">
      <c r="A282" s="172">
        <v>272</v>
      </c>
      <c r="B282" s="165" t="s">
        <v>239</v>
      </c>
      <c r="C282" s="171" t="s">
        <v>415</v>
      </c>
    </row>
    <row r="283" spans="1:3" x14ac:dyDescent="0.2">
      <c r="A283" s="172">
        <v>273</v>
      </c>
      <c r="B283" s="165" t="s">
        <v>239</v>
      </c>
      <c r="C283" s="171" t="s">
        <v>415</v>
      </c>
    </row>
    <row r="284" spans="1:3" x14ac:dyDescent="0.2">
      <c r="A284" s="172">
        <v>274</v>
      </c>
      <c r="B284" s="165" t="s">
        <v>239</v>
      </c>
      <c r="C284" s="171" t="s">
        <v>415</v>
      </c>
    </row>
    <row r="285" spans="1:3" x14ac:dyDescent="0.2">
      <c r="A285" s="172">
        <v>276</v>
      </c>
      <c r="B285" s="165" t="s">
        <v>239</v>
      </c>
      <c r="C285" s="171" t="s">
        <v>415</v>
      </c>
    </row>
    <row r="286" spans="1:3" x14ac:dyDescent="0.2">
      <c r="A286" s="172">
        <v>277</v>
      </c>
      <c r="B286" s="165" t="s">
        <v>240</v>
      </c>
      <c r="C286" s="171" t="s">
        <v>415</v>
      </c>
    </row>
    <row r="287" spans="1:3" x14ac:dyDescent="0.2">
      <c r="A287" s="172">
        <v>278</v>
      </c>
      <c r="B287" s="165" t="s">
        <v>241</v>
      </c>
      <c r="C287" s="171" t="s">
        <v>415</v>
      </c>
    </row>
    <row r="288" spans="1:3" x14ac:dyDescent="0.2">
      <c r="A288" s="172">
        <v>279</v>
      </c>
      <c r="B288" s="165" t="s">
        <v>242</v>
      </c>
      <c r="C288" s="171" t="s">
        <v>415</v>
      </c>
    </row>
    <row r="289" spans="1:3" x14ac:dyDescent="0.2">
      <c r="A289" s="172">
        <v>280</v>
      </c>
      <c r="B289" s="165" t="s">
        <v>243</v>
      </c>
      <c r="C289" s="171" t="s">
        <v>415</v>
      </c>
    </row>
    <row r="290" spans="1:3" x14ac:dyDescent="0.2">
      <c r="A290" s="172">
        <v>281</v>
      </c>
      <c r="B290" s="165" t="s">
        <v>244</v>
      </c>
      <c r="C290" s="171" t="s">
        <v>414</v>
      </c>
    </row>
    <row r="291" spans="1:3" x14ac:dyDescent="0.2">
      <c r="A291" s="172">
        <v>283</v>
      </c>
      <c r="B291" s="165" t="s">
        <v>245</v>
      </c>
      <c r="C291" s="171" t="s">
        <v>414</v>
      </c>
    </row>
    <row r="292" spans="1:3" x14ac:dyDescent="0.2">
      <c r="A292" s="172">
        <v>284</v>
      </c>
      <c r="B292" s="165" t="s">
        <v>187</v>
      </c>
      <c r="C292" s="171" t="s">
        <v>415</v>
      </c>
    </row>
    <row r="293" spans="1:3" x14ac:dyDescent="0.2">
      <c r="A293" s="172">
        <v>285</v>
      </c>
      <c r="B293" s="165" t="s">
        <v>187</v>
      </c>
      <c r="C293" s="171" t="s">
        <v>415</v>
      </c>
    </row>
    <row r="294" spans="1:3" x14ac:dyDescent="0.2">
      <c r="A294" s="172">
        <v>286</v>
      </c>
      <c r="B294" s="165" t="s">
        <v>246</v>
      </c>
      <c r="C294" s="171" t="s">
        <v>415</v>
      </c>
    </row>
    <row r="295" spans="1:3" x14ac:dyDescent="0.2">
      <c r="A295" s="172">
        <v>287</v>
      </c>
      <c r="B295" s="165" t="s">
        <v>247</v>
      </c>
      <c r="C295" s="171" t="s">
        <v>415</v>
      </c>
    </row>
    <row r="296" spans="1:3" x14ac:dyDescent="0.2">
      <c r="A296" s="172">
        <v>288</v>
      </c>
      <c r="B296" s="165" t="s">
        <v>248</v>
      </c>
      <c r="C296" s="171" t="s">
        <v>415</v>
      </c>
    </row>
    <row r="297" spans="1:3" x14ac:dyDescent="0.2">
      <c r="A297" s="172">
        <v>289</v>
      </c>
      <c r="B297" s="165" t="s">
        <v>248</v>
      </c>
      <c r="C297" s="171" t="s">
        <v>415</v>
      </c>
    </row>
    <row r="298" spans="1:3" x14ac:dyDescent="0.2">
      <c r="A298" s="172">
        <v>290</v>
      </c>
      <c r="B298" s="165" t="s">
        <v>248</v>
      </c>
      <c r="C298" s="171" t="s">
        <v>415</v>
      </c>
    </row>
    <row r="299" spans="1:3" x14ac:dyDescent="0.2">
      <c r="A299" s="172">
        <v>291</v>
      </c>
      <c r="B299" s="165" t="s">
        <v>248</v>
      </c>
      <c r="C299" s="171" t="s">
        <v>415</v>
      </c>
    </row>
    <row r="300" spans="1:3" x14ac:dyDescent="0.2">
      <c r="A300" s="172">
        <v>292</v>
      </c>
      <c r="B300" s="165" t="s">
        <v>248</v>
      </c>
      <c r="C300" s="171" t="s">
        <v>415</v>
      </c>
    </row>
    <row r="301" spans="1:3" x14ac:dyDescent="0.2">
      <c r="A301" s="172">
        <v>297</v>
      </c>
      <c r="B301" s="165" t="s">
        <v>248</v>
      </c>
      <c r="C301" s="171" t="s">
        <v>415</v>
      </c>
    </row>
    <row r="302" spans="1:3" x14ac:dyDescent="0.2">
      <c r="A302" s="172">
        <v>298</v>
      </c>
      <c r="B302" s="165" t="s">
        <v>248</v>
      </c>
      <c r="C302" s="171" t="s">
        <v>415</v>
      </c>
    </row>
    <row r="303" spans="1:3" x14ac:dyDescent="0.2">
      <c r="A303" s="172">
        <v>299</v>
      </c>
      <c r="B303" s="165" t="s">
        <v>248</v>
      </c>
      <c r="C303" s="171" t="s">
        <v>415</v>
      </c>
    </row>
    <row r="304" spans="1:3" x14ac:dyDescent="0.2">
      <c r="A304" s="172">
        <v>300</v>
      </c>
      <c r="B304" s="165" t="s">
        <v>249</v>
      </c>
      <c r="C304" s="171" t="s">
        <v>414</v>
      </c>
    </row>
    <row r="305" spans="1:3" x14ac:dyDescent="0.2">
      <c r="A305" s="172">
        <v>301</v>
      </c>
      <c r="B305" s="165" t="s">
        <v>250</v>
      </c>
      <c r="C305" s="171" t="s">
        <v>414</v>
      </c>
    </row>
    <row r="306" spans="1:3" x14ac:dyDescent="0.2">
      <c r="A306" s="172">
        <v>302</v>
      </c>
      <c r="B306" s="165" t="s">
        <v>251</v>
      </c>
      <c r="C306" s="171" t="s">
        <v>414</v>
      </c>
    </row>
    <row r="307" spans="1:3" x14ac:dyDescent="0.2">
      <c r="A307" s="172">
        <v>303</v>
      </c>
      <c r="B307" s="165" t="s">
        <v>248</v>
      </c>
      <c r="C307" s="171" t="s">
        <v>415</v>
      </c>
    </row>
    <row r="308" spans="1:3" x14ac:dyDescent="0.2">
      <c r="A308" s="172">
        <v>304</v>
      </c>
      <c r="B308" s="165" t="s">
        <v>248</v>
      </c>
      <c r="C308" s="171" t="s">
        <v>415</v>
      </c>
    </row>
    <row r="309" spans="1:3" x14ac:dyDescent="0.2">
      <c r="A309" s="172">
        <v>305</v>
      </c>
      <c r="B309" s="165" t="s">
        <v>252</v>
      </c>
      <c r="C309" s="171" t="s">
        <v>414</v>
      </c>
    </row>
    <row r="310" spans="1:3" x14ac:dyDescent="0.2">
      <c r="A310" s="172">
        <v>306</v>
      </c>
      <c r="B310" s="165" t="s">
        <v>252</v>
      </c>
      <c r="C310" s="171" t="s">
        <v>414</v>
      </c>
    </row>
    <row r="311" spans="1:3" x14ac:dyDescent="0.2">
      <c r="A311" s="172">
        <v>307</v>
      </c>
      <c r="B311" s="165" t="s">
        <v>252</v>
      </c>
      <c r="C311" s="171" t="s">
        <v>414</v>
      </c>
    </row>
    <row r="312" spans="1:3" x14ac:dyDescent="0.2">
      <c r="A312" s="172">
        <v>308</v>
      </c>
      <c r="B312" s="165" t="s">
        <v>252</v>
      </c>
      <c r="C312" s="171" t="s">
        <v>414</v>
      </c>
    </row>
    <row r="313" spans="1:3" x14ac:dyDescent="0.2">
      <c r="A313" s="172">
        <v>309</v>
      </c>
      <c r="B313" s="165" t="s">
        <v>253</v>
      </c>
      <c r="C313" s="171" t="s">
        <v>414</v>
      </c>
    </row>
    <row r="314" spans="1:3" x14ac:dyDescent="0.2">
      <c r="A314" s="172">
        <v>310</v>
      </c>
      <c r="B314" s="165" t="s">
        <v>254</v>
      </c>
      <c r="C314" s="171" t="s">
        <v>414</v>
      </c>
    </row>
    <row r="315" spans="1:3" x14ac:dyDescent="0.2">
      <c r="A315" s="172">
        <v>312</v>
      </c>
      <c r="B315" s="165" t="s">
        <v>255</v>
      </c>
      <c r="C315" s="171" t="s">
        <v>414</v>
      </c>
    </row>
    <row r="316" spans="1:3" x14ac:dyDescent="0.2">
      <c r="A316" s="172">
        <v>313</v>
      </c>
      <c r="B316" s="165" t="s">
        <v>256</v>
      </c>
      <c r="C316" s="171" t="s">
        <v>415</v>
      </c>
    </row>
    <row r="317" spans="1:3" x14ac:dyDescent="0.2">
      <c r="A317" s="172">
        <v>314</v>
      </c>
      <c r="B317" s="165" t="s">
        <v>257</v>
      </c>
      <c r="C317" s="171" t="s">
        <v>415</v>
      </c>
    </row>
    <row r="318" spans="1:3" x14ac:dyDescent="0.2">
      <c r="A318" s="172">
        <v>315</v>
      </c>
      <c r="B318" s="165" t="s">
        <v>258</v>
      </c>
      <c r="C318" s="171" t="s">
        <v>415</v>
      </c>
    </row>
    <row r="319" spans="1:3" x14ac:dyDescent="0.2">
      <c r="A319" s="172">
        <v>316</v>
      </c>
      <c r="B319" s="165" t="s">
        <v>259</v>
      </c>
      <c r="C319" s="171" t="s">
        <v>414</v>
      </c>
    </row>
    <row r="320" spans="1:3" x14ac:dyDescent="0.2">
      <c r="A320" s="172">
        <v>317</v>
      </c>
      <c r="B320" s="165" t="s">
        <v>259</v>
      </c>
      <c r="C320" s="171" t="s">
        <v>414</v>
      </c>
    </row>
    <row r="321" spans="1:3" x14ac:dyDescent="0.2">
      <c r="A321" s="172">
        <v>318</v>
      </c>
      <c r="B321" s="165" t="s">
        <v>259</v>
      </c>
      <c r="C321" s="171" t="s">
        <v>414</v>
      </c>
    </row>
    <row r="322" spans="1:3" x14ac:dyDescent="0.2">
      <c r="A322" s="172">
        <v>319</v>
      </c>
      <c r="B322" s="165" t="s">
        <v>260</v>
      </c>
      <c r="C322" s="171" t="s">
        <v>414</v>
      </c>
    </row>
    <row r="323" spans="1:3" x14ac:dyDescent="0.2">
      <c r="A323" s="172">
        <v>320</v>
      </c>
      <c r="B323" s="165" t="s">
        <v>259</v>
      </c>
      <c r="C323" s="171" t="s">
        <v>414</v>
      </c>
    </row>
    <row r="324" spans="1:3" x14ac:dyDescent="0.2">
      <c r="A324" s="172">
        <v>321</v>
      </c>
      <c r="B324" s="165" t="s">
        <v>259</v>
      </c>
      <c r="C324" s="171" t="s">
        <v>414</v>
      </c>
    </row>
    <row r="325" spans="1:3" x14ac:dyDescent="0.2">
      <c r="A325" s="172">
        <v>322</v>
      </c>
      <c r="B325" s="165" t="s">
        <v>259</v>
      </c>
      <c r="C325" s="171" t="s">
        <v>414</v>
      </c>
    </row>
    <row r="326" spans="1:3" x14ac:dyDescent="0.2">
      <c r="A326" s="172">
        <v>323</v>
      </c>
      <c r="B326" s="165" t="s">
        <v>259</v>
      </c>
      <c r="C326" s="171" t="s">
        <v>414</v>
      </c>
    </row>
    <row r="327" spans="1:3" x14ac:dyDescent="0.2">
      <c r="A327" s="172">
        <v>324</v>
      </c>
      <c r="B327" s="165" t="s">
        <v>261</v>
      </c>
      <c r="C327" s="171" t="s">
        <v>414</v>
      </c>
    </row>
    <row r="328" spans="1:3" x14ac:dyDescent="0.2">
      <c r="A328" s="172">
        <v>325</v>
      </c>
      <c r="B328" s="165" t="s">
        <v>262</v>
      </c>
      <c r="C328" s="171" t="s">
        <v>414</v>
      </c>
    </row>
    <row r="329" spans="1:3" x14ac:dyDescent="0.2">
      <c r="A329" s="172">
        <v>326</v>
      </c>
      <c r="B329" s="165" t="s">
        <v>262</v>
      </c>
      <c r="C329" s="171" t="s">
        <v>414</v>
      </c>
    </row>
    <row r="330" spans="1:3" x14ac:dyDescent="0.2">
      <c r="A330" s="172">
        <v>327</v>
      </c>
      <c r="B330" s="165" t="s">
        <v>262</v>
      </c>
      <c r="C330" s="171" t="s">
        <v>414</v>
      </c>
    </row>
    <row r="331" spans="1:3" x14ac:dyDescent="0.2">
      <c r="A331" s="172">
        <v>328</v>
      </c>
      <c r="B331" s="165" t="s">
        <v>262</v>
      </c>
      <c r="C331" s="171" t="s">
        <v>414</v>
      </c>
    </row>
    <row r="332" spans="1:3" x14ac:dyDescent="0.2">
      <c r="A332" s="172">
        <v>329</v>
      </c>
      <c r="B332" s="165" t="s">
        <v>262</v>
      </c>
      <c r="C332" s="171" t="s">
        <v>414</v>
      </c>
    </row>
    <row r="333" spans="1:3" x14ac:dyDescent="0.2">
      <c r="A333" s="172">
        <v>330</v>
      </c>
      <c r="B333" s="165" t="s">
        <v>262</v>
      </c>
      <c r="C333" s="171" t="s">
        <v>414</v>
      </c>
    </row>
    <row r="334" spans="1:3" x14ac:dyDescent="0.2">
      <c r="A334" s="172">
        <v>331</v>
      </c>
      <c r="B334" s="165" t="s">
        <v>262</v>
      </c>
      <c r="C334" s="171" t="s">
        <v>414</v>
      </c>
    </row>
    <row r="335" spans="1:3" x14ac:dyDescent="0.2">
      <c r="A335" s="172">
        <v>332</v>
      </c>
      <c r="B335" s="165" t="s">
        <v>262</v>
      </c>
      <c r="C335" s="171" t="s">
        <v>415</v>
      </c>
    </row>
    <row r="336" spans="1:3" x14ac:dyDescent="0.2">
      <c r="A336" s="172">
        <v>334</v>
      </c>
      <c r="B336" s="165" t="s">
        <v>263</v>
      </c>
      <c r="C336" s="171" t="s">
        <v>414</v>
      </c>
    </row>
    <row r="337" spans="1:3" x14ac:dyDescent="0.2">
      <c r="A337" s="172">
        <v>335</v>
      </c>
      <c r="B337" s="165" t="s">
        <v>264</v>
      </c>
      <c r="C337" s="171" t="s">
        <v>414</v>
      </c>
    </row>
    <row r="338" spans="1:3" x14ac:dyDescent="0.2">
      <c r="A338" s="172">
        <v>336</v>
      </c>
      <c r="B338" s="165" t="s">
        <v>265</v>
      </c>
      <c r="C338" s="171" t="s">
        <v>415</v>
      </c>
    </row>
    <row r="339" spans="1:3" x14ac:dyDescent="0.2">
      <c r="A339" s="172">
        <v>337</v>
      </c>
      <c r="B339" s="165" t="s">
        <v>265</v>
      </c>
      <c r="C339" s="171" t="s">
        <v>415</v>
      </c>
    </row>
    <row r="340" spans="1:3" x14ac:dyDescent="0.2">
      <c r="A340" s="172">
        <v>338</v>
      </c>
      <c r="B340" s="165" t="s">
        <v>266</v>
      </c>
      <c r="C340" s="171" t="s">
        <v>414</v>
      </c>
    </row>
    <row r="341" spans="1:3" x14ac:dyDescent="0.2">
      <c r="A341" s="172">
        <v>339</v>
      </c>
      <c r="B341" s="165" t="s">
        <v>267</v>
      </c>
      <c r="C341" s="171" t="s">
        <v>415</v>
      </c>
    </row>
    <row r="342" spans="1:3" x14ac:dyDescent="0.2">
      <c r="A342" s="172">
        <v>340</v>
      </c>
      <c r="B342" s="165" t="s">
        <v>267</v>
      </c>
      <c r="C342" s="171" t="s">
        <v>415</v>
      </c>
    </row>
    <row r="343" spans="1:3" x14ac:dyDescent="0.2">
      <c r="A343" s="172">
        <v>341</v>
      </c>
      <c r="B343" s="165" t="s">
        <v>267</v>
      </c>
      <c r="C343" s="171" t="s">
        <v>415</v>
      </c>
    </row>
    <row r="344" spans="1:3" x14ac:dyDescent="0.2">
      <c r="A344" s="172">
        <v>342</v>
      </c>
      <c r="B344" s="165" t="s">
        <v>268</v>
      </c>
      <c r="C344" s="171" t="s">
        <v>414</v>
      </c>
    </row>
    <row r="345" spans="1:3" x14ac:dyDescent="0.2">
      <c r="A345" s="172">
        <v>343</v>
      </c>
      <c r="B345" s="165" t="s">
        <v>269</v>
      </c>
      <c r="C345" s="171" t="s">
        <v>414</v>
      </c>
    </row>
    <row r="346" spans="1:3" x14ac:dyDescent="0.2">
      <c r="A346" s="172">
        <v>344</v>
      </c>
      <c r="B346" s="165" t="s">
        <v>270</v>
      </c>
      <c r="C346" s="171" t="s">
        <v>414</v>
      </c>
    </row>
    <row r="347" spans="1:3" x14ac:dyDescent="0.2">
      <c r="A347" s="172">
        <v>344</v>
      </c>
      <c r="B347" s="165" t="s">
        <v>270</v>
      </c>
      <c r="C347" s="171" t="s">
        <v>415</v>
      </c>
    </row>
    <row r="348" spans="1:3" x14ac:dyDescent="0.2">
      <c r="A348" s="172">
        <v>345</v>
      </c>
      <c r="B348" s="165" t="s">
        <v>271</v>
      </c>
      <c r="C348" s="171" t="s">
        <v>414</v>
      </c>
    </row>
    <row r="349" spans="1:3" x14ac:dyDescent="0.2">
      <c r="A349" s="172">
        <v>346</v>
      </c>
      <c r="B349" s="165" t="s">
        <v>272</v>
      </c>
      <c r="C349" s="171" t="s">
        <v>415</v>
      </c>
    </row>
    <row r="350" spans="1:3" x14ac:dyDescent="0.2">
      <c r="A350" s="172">
        <v>347</v>
      </c>
      <c r="B350" s="165" t="s">
        <v>273</v>
      </c>
      <c r="C350" s="171" t="s">
        <v>415</v>
      </c>
    </row>
    <row r="351" spans="1:3" x14ac:dyDescent="0.2">
      <c r="A351" s="172">
        <v>348</v>
      </c>
      <c r="B351" s="165" t="s">
        <v>273</v>
      </c>
      <c r="C351" s="171" t="s">
        <v>415</v>
      </c>
    </row>
    <row r="352" spans="1:3" x14ac:dyDescent="0.2">
      <c r="A352" s="172">
        <v>349</v>
      </c>
      <c r="B352" s="165" t="s">
        <v>219</v>
      </c>
      <c r="C352" s="171" t="s">
        <v>414</v>
      </c>
    </row>
    <row r="353" spans="1:3" x14ac:dyDescent="0.2">
      <c r="A353" s="172">
        <v>350</v>
      </c>
      <c r="B353" s="165" t="s">
        <v>274</v>
      </c>
      <c r="C353" s="171" t="s">
        <v>415</v>
      </c>
    </row>
    <row r="354" spans="1:3" x14ac:dyDescent="0.2">
      <c r="A354" s="172">
        <v>351</v>
      </c>
      <c r="B354" s="165" t="s">
        <v>275</v>
      </c>
      <c r="C354" s="171" t="s">
        <v>414</v>
      </c>
    </row>
    <row r="355" spans="1:3" x14ac:dyDescent="0.2">
      <c r="A355" s="172">
        <v>352</v>
      </c>
      <c r="B355" s="165" t="s">
        <v>276</v>
      </c>
      <c r="C355" s="171" t="s">
        <v>414</v>
      </c>
    </row>
    <row r="356" spans="1:3" x14ac:dyDescent="0.2">
      <c r="A356" s="172">
        <v>353</v>
      </c>
      <c r="B356" s="165" t="s">
        <v>277</v>
      </c>
      <c r="C356" s="171" t="s">
        <v>414</v>
      </c>
    </row>
    <row r="357" spans="1:3" x14ac:dyDescent="0.2">
      <c r="A357" s="172">
        <v>354</v>
      </c>
      <c r="B357" s="165" t="s">
        <v>194</v>
      </c>
      <c r="C357" s="171" t="s">
        <v>415</v>
      </c>
    </row>
    <row r="358" spans="1:3" x14ac:dyDescent="0.2">
      <c r="A358" s="172">
        <v>355</v>
      </c>
      <c r="B358" s="165" t="s">
        <v>278</v>
      </c>
      <c r="C358" s="171" t="s">
        <v>414</v>
      </c>
    </row>
    <row r="359" spans="1:3" x14ac:dyDescent="0.2">
      <c r="A359" s="172">
        <v>357</v>
      </c>
      <c r="B359" s="165" t="s">
        <v>279</v>
      </c>
      <c r="C359" s="171" t="s">
        <v>415</v>
      </c>
    </row>
    <row r="360" spans="1:3" x14ac:dyDescent="0.2">
      <c r="A360" s="172">
        <v>358</v>
      </c>
      <c r="B360" s="165" t="s">
        <v>279</v>
      </c>
      <c r="C360" s="171" t="s">
        <v>415</v>
      </c>
    </row>
    <row r="361" spans="1:3" x14ac:dyDescent="0.2">
      <c r="A361" s="172">
        <v>359</v>
      </c>
      <c r="B361" s="165" t="s">
        <v>279</v>
      </c>
      <c r="C361" s="171" t="s">
        <v>415</v>
      </c>
    </row>
    <row r="362" spans="1:3" x14ac:dyDescent="0.2">
      <c r="A362" s="172">
        <v>360</v>
      </c>
      <c r="B362" s="165" t="s">
        <v>279</v>
      </c>
      <c r="C362" s="171" t="s">
        <v>415</v>
      </c>
    </row>
    <row r="363" spans="1:3" x14ac:dyDescent="0.2">
      <c r="A363" s="172">
        <v>361</v>
      </c>
      <c r="B363" s="165" t="s">
        <v>279</v>
      </c>
      <c r="C363" s="171" t="s">
        <v>415</v>
      </c>
    </row>
    <row r="364" spans="1:3" x14ac:dyDescent="0.2">
      <c r="A364" s="172">
        <v>362</v>
      </c>
      <c r="B364" s="165" t="s">
        <v>279</v>
      </c>
      <c r="C364" s="171" t="s">
        <v>415</v>
      </c>
    </row>
    <row r="365" spans="1:3" x14ac:dyDescent="0.2">
      <c r="A365" s="172">
        <v>363</v>
      </c>
      <c r="B365" s="165" t="s">
        <v>279</v>
      </c>
      <c r="C365" s="171" t="s">
        <v>415</v>
      </c>
    </row>
    <row r="366" spans="1:3" x14ac:dyDescent="0.2">
      <c r="A366" s="172">
        <v>364</v>
      </c>
      <c r="B366" s="165" t="s">
        <v>279</v>
      </c>
      <c r="C366" s="171" t="s">
        <v>415</v>
      </c>
    </row>
    <row r="367" spans="1:3" x14ac:dyDescent="0.2">
      <c r="A367" s="172">
        <v>365</v>
      </c>
      <c r="B367" s="165" t="s">
        <v>279</v>
      </c>
      <c r="C367" s="171" t="s">
        <v>415</v>
      </c>
    </row>
    <row r="368" spans="1:3" x14ac:dyDescent="0.2">
      <c r="A368" s="172">
        <v>366</v>
      </c>
      <c r="B368" s="165" t="s">
        <v>279</v>
      </c>
      <c r="C368" s="171" t="s">
        <v>415</v>
      </c>
    </row>
    <row r="369" spans="1:3" x14ac:dyDescent="0.2">
      <c r="A369" s="172">
        <v>367</v>
      </c>
      <c r="B369" s="165" t="s">
        <v>279</v>
      </c>
      <c r="C369" s="171" t="s">
        <v>415</v>
      </c>
    </row>
    <row r="370" spans="1:3" x14ac:dyDescent="0.2">
      <c r="A370" s="172">
        <v>368</v>
      </c>
      <c r="B370" s="165" t="s">
        <v>279</v>
      </c>
      <c r="C370" s="171" t="s">
        <v>415</v>
      </c>
    </row>
    <row r="371" spans="1:3" x14ac:dyDescent="0.2">
      <c r="A371" s="172">
        <v>369</v>
      </c>
      <c r="B371" s="165" t="s">
        <v>279</v>
      </c>
      <c r="C371" s="171" t="s">
        <v>415</v>
      </c>
    </row>
    <row r="372" spans="1:3" x14ac:dyDescent="0.2">
      <c r="A372" s="172">
        <v>370</v>
      </c>
      <c r="B372" s="165" t="s">
        <v>279</v>
      </c>
      <c r="C372" s="171" t="s">
        <v>415</v>
      </c>
    </row>
    <row r="373" spans="1:3" x14ac:dyDescent="0.2">
      <c r="A373" s="172">
        <v>371</v>
      </c>
      <c r="B373" s="165" t="s">
        <v>279</v>
      </c>
      <c r="C373" s="171" t="s">
        <v>415</v>
      </c>
    </row>
    <row r="374" spans="1:3" x14ac:dyDescent="0.2">
      <c r="A374" s="172">
        <v>372</v>
      </c>
      <c r="B374" s="165" t="s">
        <v>259</v>
      </c>
      <c r="C374" s="171" t="s">
        <v>414</v>
      </c>
    </row>
    <row r="375" spans="1:3" x14ac:dyDescent="0.2">
      <c r="A375" s="172">
        <v>373</v>
      </c>
      <c r="B375" s="165" t="s">
        <v>207</v>
      </c>
      <c r="C375" s="171" t="s">
        <v>414</v>
      </c>
    </row>
    <row r="376" spans="1:3" x14ac:dyDescent="0.2">
      <c r="A376" s="172">
        <v>374</v>
      </c>
      <c r="B376" s="165" t="s">
        <v>207</v>
      </c>
      <c r="C376" s="171" t="s">
        <v>414</v>
      </c>
    </row>
    <row r="377" spans="1:3" x14ac:dyDescent="0.2">
      <c r="A377" s="172">
        <v>375</v>
      </c>
      <c r="B377" s="165" t="s">
        <v>207</v>
      </c>
      <c r="C377" s="171" t="s">
        <v>414</v>
      </c>
    </row>
    <row r="378" spans="1:3" x14ac:dyDescent="0.2">
      <c r="A378" s="172">
        <v>376</v>
      </c>
      <c r="B378" s="165" t="s">
        <v>207</v>
      </c>
      <c r="C378" s="171" t="s">
        <v>414</v>
      </c>
    </row>
    <row r="379" spans="1:3" x14ac:dyDescent="0.2">
      <c r="A379" s="172">
        <v>377</v>
      </c>
      <c r="B379" s="165" t="s">
        <v>207</v>
      </c>
      <c r="C379" s="171" t="s">
        <v>414</v>
      </c>
    </row>
    <row r="380" spans="1:3" x14ac:dyDescent="0.2">
      <c r="A380" s="172">
        <v>378</v>
      </c>
      <c r="B380" s="165" t="s">
        <v>207</v>
      </c>
      <c r="C380" s="171" t="s">
        <v>414</v>
      </c>
    </row>
    <row r="381" spans="1:3" x14ac:dyDescent="0.2">
      <c r="A381" s="172">
        <v>380</v>
      </c>
      <c r="B381" s="165" t="s">
        <v>207</v>
      </c>
      <c r="C381" s="171" t="s">
        <v>414</v>
      </c>
    </row>
    <row r="382" spans="1:3" x14ac:dyDescent="0.2">
      <c r="A382" s="172">
        <v>381</v>
      </c>
      <c r="B382" s="165" t="s">
        <v>207</v>
      </c>
      <c r="C382" s="171" t="s">
        <v>414</v>
      </c>
    </row>
    <row r="383" spans="1:3" x14ac:dyDescent="0.2">
      <c r="A383" s="172">
        <v>382</v>
      </c>
      <c r="B383" s="165" t="s">
        <v>207</v>
      </c>
      <c r="C383" s="171" t="s">
        <v>414</v>
      </c>
    </row>
    <row r="384" spans="1:3" x14ac:dyDescent="0.2">
      <c r="A384" s="172">
        <v>384</v>
      </c>
      <c r="B384" s="165" t="s">
        <v>219</v>
      </c>
      <c r="C384" s="171" t="s">
        <v>414</v>
      </c>
    </row>
    <row r="385" spans="1:3" x14ac:dyDescent="0.2">
      <c r="A385" s="172">
        <v>385</v>
      </c>
      <c r="B385" s="165" t="s">
        <v>207</v>
      </c>
      <c r="C385" s="171" t="s">
        <v>415</v>
      </c>
    </row>
    <row r="386" spans="1:3" x14ac:dyDescent="0.2">
      <c r="A386" s="172">
        <v>386</v>
      </c>
      <c r="B386" s="165" t="s">
        <v>187</v>
      </c>
      <c r="C386" s="171" t="s">
        <v>415</v>
      </c>
    </row>
    <row r="387" spans="1:3" x14ac:dyDescent="0.2">
      <c r="A387" s="172">
        <v>387</v>
      </c>
      <c r="B387" s="165" t="s">
        <v>212</v>
      </c>
      <c r="C387" s="171" t="s">
        <v>415</v>
      </c>
    </row>
    <row r="388" spans="1:3" x14ac:dyDescent="0.2">
      <c r="A388" s="172">
        <v>388</v>
      </c>
      <c r="B388" s="165" t="s">
        <v>207</v>
      </c>
      <c r="C388" s="171" t="s">
        <v>415</v>
      </c>
    </row>
    <row r="389" spans="1:3" x14ac:dyDescent="0.2">
      <c r="A389" s="172">
        <v>389</v>
      </c>
      <c r="B389" s="165" t="s">
        <v>198</v>
      </c>
      <c r="C389" s="171" t="s">
        <v>415</v>
      </c>
    </row>
    <row r="390" spans="1:3" x14ac:dyDescent="0.2">
      <c r="A390" s="172">
        <v>390</v>
      </c>
      <c r="B390" s="165" t="s">
        <v>207</v>
      </c>
      <c r="C390" s="171" t="s">
        <v>414</v>
      </c>
    </row>
    <row r="391" spans="1:3" x14ac:dyDescent="0.2">
      <c r="A391" s="172">
        <v>391</v>
      </c>
      <c r="B391" s="165" t="s">
        <v>280</v>
      </c>
      <c r="C391" s="171" t="s">
        <v>415</v>
      </c>
    </row>
    <row r="392" spans="1:3" x14ac:dyDescent="0.2">
      <c r="A392" s="172">
        <v>392</v>
      </c>
      <c r="B392" s="165" t="s">
        <v>281</v>
      </c>
      <c r="C392" s="171" t="s">
        <v>414</v>
      </c>
    </row>
    <row r="393" spans="1:3" x14ac:dyDescent="0.2">
      <c r="A393" s="172">
        <v>393</v>
      </c>
      <c r="B393" s="165" t="s">
        <v>282</v>
      </c>
      <c r="C393" s="171" t="s">
        <v>414</v>
      </c>
    </row>
    <row r="394" spans="1:3" x14ac:dyDescent="0.2">
      <c r="A394" s="172">
        <v>394</v>
      </c>
      <c r="B394" s="165" t="s">
        <v>238</v>
      </c>
      <c r="C394" s="171" t="s">
        <v>414</v>
      </c>
    </row>
    <row r="395" spans="1:3" x14ac:dyDescent="0.2">
      <c r="A395" s="172">
        <v>395</v>
      </c>
      <c r="B395" s="165" t="s">
        <v>283</v>
      </c>
      <c r="C395" s="171" t="s">
        <v>414</v>
      </c>
    </row>
    <row r="396" spans="1:3" x14ac:dyDescent="0.2">
      <c r="A396" s="172">
        <v>396</v>
      </c>
      <c r="B396" s="165" t="s">
        <v>217</v>
      </c>
      <c r="C396" s="171" t="s">
        <v>414</v>
      </c>
    </row>
    <row r="397" spans="1:3" x14ac:dyDescent="0.2">
      <c r="A397" s="172">
        <v>397</v>
      </c>
      <c r="B397" s="165" t="s">
        <v>284</v>
      </c>
      <c r="C397" s="171" t="s">
        <v>414</v>
      </c>
    </row>
    <row r="398" spans="1:3" x14ac:dyDescent="0.2">
      <c r="A398" s="172">
        <v>398</v>
      </c>
      <c r="B398" s="165" t="s">
        <v>285</v>
      </c>
      <c r="C398" s="171" t="s">
        <v>414</v>
      </c>
    </row>
    <row r="399" spans="1:3" x14ac:dyDescent="0.2">
      <c r="A399" s="172">
        <v>399</v>
      </c>
      <c r="B399" s="165" t="s">
        <v>286</v>
      </c>
      <c r="C399" s="171" t="s">
        <v>415</v>
      </c>
    </row>
    <row r="400" spans="1:3" x14ac:dyDescent="0.2">
      <c r="A400" s="172">
        <v>400</v>
      </c>
      <c r="B400" s="165" t="s">
        <v>237</v>
      </c>
      <c r="C400" s="171" t="s">
        <v>414</v>
      </c>
    </row>
    <row r="401" spans="1:3" x14ac:dyDescent="0.2">
      <c r="A401" s="172">
        <v>401</v>
      </c>
      <c r="B401" s="165" t="s">
        <v>287</v>
      </c>
      <c r="C401" s="171" t="s">
        <v>415</v>
      </c>
    </row>
    <row r="402" spans="1:3" x14ac:dyDescent="0.2">
      <c r="A402" s="172">
        <v>403</v>
      </c>
      <c r="B402" s="165" t="s">
        <v>193</v>
      </c>
      <c r="C402" s="171" t="s">
        <v>414</v>
      </c>
    </row>
    <row r="403" spans="1:3" x14ac:dyDescent="0.2">
      <c r="A403" s="172">
        <v>404</v>
      </c>
      <c r="B403" s="165" t="s">
        <v>288</v>
      </c>
      <c r="C403" s="171" t="s">
        <v>414</v>
      </c>
    </row>
    <row r="404" spans="1:3" x14ac:dyDescent="0.2">
      <c r="A404" s="172">
        <v>405</v>
      </c>
      <c r="B404" s="165" t="s">
        <v>289</v>
      </c>
      <c r="C404" s="171" t="s">
        <v>415</v>
      </c>
    </row>
    <row r="405" spans="1:3" x14ac:dyDescent="0.2">
      <c r="A405" s="172">
        <v>406</v>
      </c>
      <c r="B405" s="165" t="s">
        <v>290</v>
      </c>
      <c r="C405" s="171" t="s">
        <v>415</v>
      </c>
    </row>
    <row r="406" spans="1:3" x14ac:dyDescent="0.2">
      <c r="A406" s="172">
        <v>407</v>
      </c>
      <c r="B406" s="165" t="s">
        <v>291</v>
      </c>
      <c r="C406" s="171" t="s">
        <v>415</v>
      </c>
    </row>
    <row r="407" spans="1:3" x14ac:dyDescent="0.2">
      <c r="A407" s="172">
        <v>408</v>
      </c>
      <c r="B407" s="165" t="s">
        <v>292</v>
      </c>
      <c r="C407" s="171" t="s">
        <v>415</v>
      </c>
    </row>
    <row r="408" spans="1:3" x14ac:dyDescent="0.2">
      <c r="A408" s="172">
        <v>409</v>
      </c>
      <c r="B408" s="165" t="s">
        <v>293</v>
      </c>
      <c r="C408" s="171" t="s">
        <v>415</v>
      </c>
    </row>
    <row r="409" spans="1:3" x14ac:dyDescent="0.2">
      <c r="A409" s="172">
        <v>410</v>
      </c>
      <c r="B409" s="165" t="s">
        <v>294</v>
      </c>
      <c r="C409" s="171" t="s">
        <v>415</v>
      </c>
    </row>
    <row r="410" spans="1:3" x14ac:dyDescent="0.2">
      <c r="A410" s="172">
        <v>411</v>
      </c>
      <c r="B410" s="165" t="s">
        <v>295</v>
      </c>
      <c r="C410" s="171" t="s">
        <v>415</v>
      </c>
    </row>
    <row r="411" spans="1:3" x14ac:dyDescent="0.2">
      <c r="A411" s="172">
        <v>412</v>
      </c>
      <c r="B411" s="165" t="s">
        <v>296</v>
      </c>
      <c r="C411" s="171" t="s">
        <v>415</v>
      </c>
    </row>
    <row r="412" spans="1:3" x14ac:dyDescent="0.2">
      <c r="A412" s="172">
        <v>413</v>
      </c>
      <c r="B412" s="165" t="s">
        <v>297</v>
      </c>
      <c r="C412" s="171" t="s">
        <v>415</v>
      </c>
    </row>
    <row r="413" spans="1:3" x14ac:dyDescent="0.2">
      <c r="A413" s="172">
        <v>414</v>
      </c>
      <c r="B413" s="165" t="s">
        <v>298</v>
      </c>
      <c r="C413" s="171" t="s">
        <v>415</v>
      </c>
    </row>
    <row r="414" spans="1:3" x14ac:dyDescent="0.2">
      <c r="A414" s="172">
        <v>415</v>
      </c>
      <c r="B414" s="165" t="s">
        <v>299</v>
      </c>
      <c r="C414" s="171" t="s">
        <v>415</v>
      </c>
    </row>
    <row r="415" spans="1:3" x14ac:dyDescent="0.2">
      <c r="A415" s="172">
        <v>416</v>
      </c>
      <c r="B415" s="165" t="s">
        <v>300</v>
      </c>
      <c r="C415" s="171" t="s">
        <v>415</v>
      </c>
    </row>
    <row r="416" spans="1:3" x14ac:dyDescent="0.2">
      <c r="A416" s="172">
        <v>417</v>
      </c>
      <c r="B416" s="165" t="s">
        <v>301</v>
      </c>
      <c r="C416" s="171" t="s">
        <v>415</v>
      </c>
    </row>
    <row r="417" spans="1:3" x14ac:dyDescent="0.2">
      <c r="A417" s="172">
        <v>418</v>
      </c>
      <c r="B417" s="165" t="s">
        <v>302</v>
      </c>
      <c r="C417" s="171" t="s">
        <v>415</v>
      </c>
    </row>
    <row r="418" spans="1:3" x14ac:dyDescent="0.2">
      <c r="A418" s="172">
        <v>419</v>
      </c>
      <c r="B418" s="165" t="s">
        <v>303</v>
      </c>
      <c r="C418" s="171" t="s">
        <v>415</v>
      </c>
    </row>
    <row r="419" spans="1:3" x14ac:dyDescent="0.2">
      <c r="A419" s="172">
        <v>420</v>
      </c>
      <c r="B419" s="165" t="s">
        <v>304</v>
      </c>
      <c r="C419" s="171" t="s">
        <v>415</v>
      </c>
    </row>
    <row r="420" spans="1:3" x14ac:dyDescent="0.2">
      <c r="A420" s="172">
        <v>421</v>
      </c>
      <c r="B420" s="165" t="s">
        <v>305</v>
      </c>
      <c r="C420" s="171" t="s">
        <v>415</v>
      </c>
    </row>
    <row r="421" spans="1:3" x14ac:dyDescent="0.2">
      <c r="A421" s="172">
        <v>422</v>
      </c>
      <c r="B421" s="165" t="s">
        <v>306</v>
      </c>
      <c r="C421" s="171" t="s">
        <v>415</v>
      </c>
    </row>
    <row r="422" spans="1:3" x14ac:dyDescent="0.2">
      <c r="A422" s="172">
        <v>423</v>
      </c>
      <c r="B422" s="165" t="s">
        <v>307</v>
      </c>
      <c r="C422" s="171" t="s">
        <v>415</v>
      </c>
    </row>
    <row r="423" spans="1:3" x14ac:dyDescent="0.2">
      <c r="A423" s="172">
        <v>424</v>
      </c>
      <c r="B423" s="165" t="s">
        <v>308</v>
      </c>
      <c r="C423" s="171" t="s">
        <v>415</v>
      </c>
    </row>
    <row r="424" spans="1:3" x14ac:dyDescent="0.2">
      <c r="A424" s="172">
        <v>425</v>
      </c>
      <c r="B424" s="165" t="s">
        <v>309</v>
      </c>
      <c r="C424" s="171" t="s">
        <v>414</v>
      </c>
    </row>
    <row r="425" spans="1:3" x14ac:dyDescent="0.2">
      <c r="A425" s="172">
        <v>426</v>
      </c>
      <c r="B425" s="165" t="s">
        <v>219</v>
      </c>
      <c r="C425" s="171" t="s">
        <v>414</v>
      </c>
    </row>
    <row r="426" spans="1:3" x14ac:dyDescent="0.2">
      <c r="A426" s="172">
        <v>427</v>
      </c>
      <c r="B426" s="165" t="s">
        <v>310</v>
      </c>
      <c r="C426" s="171" t="s">
        <v>414</v>
      </c>
    </row>
    <row r="427" spans="1:3" x14ac:dyDescent="0.2">
      <c r="A427" s="172">
        <v>428</v>
      </c>
      <c r="B427" s="165" t="s">
        <v>311</v>
      </c>
      <c r="C427" s="171" t="s">
        <v>410</v>
      </c>
    </row>
    <row r="428" spans="1:3" x14ac:dyDescent="0.2">
      <c r="A428" s="172">
        <v>429</v>
      </c>
      <c r="B428" s="165" t="s">
        <v>312</v>
      </c>
      <c r="C428" s="171" t="s">
        <v>410</v>
      </c>
    </row>
    <row r="429" spans="1:3" x14ac:dyDescent="0.2">
      <c r="A429" s="172">
        <v>430</v>
      </c>
      <c r="B429" s="165" t="s">
        <v>313</v>
      </c>
      <c r="C429" s="171" t="s">
        <v>410</v>
      </c>
    </row>
    <row r="430" spans="1:3" x14ac:dyDescent="0.2">
      <c r="A430" s="172">
        <v>431</v>
      </c>
      <c r="B430" s="165" t="s">
        <v>314</v>
      </c>
      <c r="C430" s="171" t="s">
        <v>410</v>
      </c>
    </row>
    <row r="431" spans="1:3" x14ac:dyDescent="0.2">
      <c r="A431" s="172">
        <v>432</v>
      </c>
      <c r="B431" s="165" t="s">
        <v>219</v>
      </c>
      <c r="C431" s="171" t="s">
        <v>414</v>
      </c>
    </row>
    <row r="432" spans="1:3" x14ac:dyDescent="0.2">
      <c r="A432" s="172">
        <v>434</v>
      </c>
      <c r="B432" s="165" t="s">
        <v>315</v>
      </c>
      <c r="C432" s="171" t="s">
        <v>415</v>
      </c>
    </row>
    <row r="433" spans="1:3" x14ac:dyDescent="0.2">
      <c r="A433" s="172">
        <v>435</v>
      </c>
      <c r="B433" s="165" t="s">
        <v>316</v>
      </c>
      <c r="C433" s="171" t="s">
        <v>414</v>
      </c>
    </row>
    <row r="434" spans="1:3" x14ac:dyDescent="0.2">
      <c r="A434" s="172">
        <v>436</v>
      </c>
      <c r="B434" s="165" t="s">
        <v>317</v>
      </c>
      <c r="C434" s="171" t="s">
        <v>414</v>
      </c>
    </row>
    <row r="435" spans="1:3" x14ac:dyDescent="0.2">
      <c r="A435" s="172">
        <v>437</v>
      </c>
      <c r="B435" s="165" t="s">
        <v>318</v>
      </c>
      <c r="C435" s="171" t="s">
        <v>414</v>
      </c>
    </row>
    <row r="436" spans="1:3" x14ac:dyDescent="0.2">
      <c r="A436" s="172">
        <v>439</v>
      </c>
      <c r="B436" s="165" t="s">
        <v>319</v>
      </c>
      <c r="C436" s="171" t="s">
        <v>414</v>
      </c>
    </row>
    <row r="437" spans="1:3" x14ac:dyDescent="0.2">
      <c r="A437" s="172">
        <v>440</v>
      </c>
      <c r="B437" s="165" t="s">
        <v>320</v>
      </c>
      <c r="C437" s="171" t="s">
        <v>414</v>
      </c>
    </row>
    <row r="438" spans="1:3" x14ac:dyDescent="0.2">
      <c r="A438" s="172">
        <v>441</v>
      </c>
      <c r="B438" s="165" t="s">
        <v>223</v>
      </c>
      <c r="C438" s="171" t="s">
        <v>414</v>
      </c>
    </row>
    <row r="439" spans="1:3" x14ac:dyDescent="0.2">
      <c r="A439" s="172">
        <v>442</v>
      </c>
      <c r="B439" s="165" t="s">
        <v>219</v>
      </c>
      <c r="C439" s="171" t="s">
        <v>415</v>
      </c>
    </row>
    <row r="440" spans="1:3" x14ac:dyDescent="0.2">
      <c r="A440" s="172">
        <v>443</v>
      </c>
      <c r="B440" s="165" t="s">
        <v>259</v>
      </c>
      <c r="C440" s="171" t="s">
        <v>414</v>
      </c>
    </row>
    <row r="441" spans="1:3" x14ac:dyDescent="0.2">
      <c r="A441" s="172">
        <v>444</v>
      </c>
      <c r="B441" s="165" t="s">
        <v>262</v>
      </c>
      <c r="C441" s="171" t="s">
        <v>414</v>
      </c>
    </row>
    <row r="442" spans="1:3" x14ac:dyDescent="0.2">
      <c r="A442" s="172">
        <v>444</v>
      </c>
      <c r="B442" s="165" t="s">
        <v>262</v>
      </c>
      <c r="C442" s="171" t="s">
        <v>415</v>
      </c>
    </row>
    <row r="443" spans="1:3" x14ac:dyDescent="0.2">
      <c r="A443" s="172">
        <v>445</v>
      </c>
      <c r="B443" s="165" t="s">
        <v>321</v>
      </c>
      <c r="C443" s="171" t="s">
        <v>414</v>
      </c>
    </row>
    <row r="444" spans="1:3" x14ac:dyDescent="0.2">
      <c r="A444" s="172">
        <v>446</v>
      </c>
      <c r="B444" s="165" t="s">
        <v>321</v>
      </c>
      <c r="C444" s="171" t="s">
        <v>414</v>
      </c>
    </row>
    <row r="445" spans="1:3" x14ac:dyDescent="0.2">
      <c r="A445" s="172">
        <v>447</v>
      </c>
      <c r="B445" s="165" t="s">
        <v>233</v>
      </c>
      <c r="C445" s="171" t="s">
        <v>414</v>
      </c>
    </row>
    <row r="446" spans="1:3" x14ac:dyDescent="0.2">
      <c r="A446" s="172">
        <v>448</v>
      </c>
      <c r="B446" s="165" t="s">
        <v>233</v>
      </c>
      <c r="C446" s="171" t="s">
        <v>414</v>
      </c>
    </row>
    <row r="447" spans="1:3" x14ac:dyDescent="0.2">
      <c r="A447" s="172">
        <v>449</v>
      </c>
      <c r="B447" s="165" t="s">
        <v>233</v>
      </c>
      <c r="C447" s="171" t="s">
        <v>414</v>
      </c>
    </row>
    <row r="448" spans="1:3" x14ac:dyDescent="0.2">
      <c r="A448" s="172">
        <v>450</v>
      </c>
      <c r="B448" s="165" t="s">
        <v>233</v>
      </c>
      <c r="C448" s="171" t="s">
        <v>414</v>
      </c>
    </row>
    <row r="449" spans="1:3" x14ac:dyDescent="0.2">
      <c r="A449" s="172">
        <v>451</v>
      </c>
      <c r="B449" s="165" t="s">
        <v>233</v>
      </c>
      <c r="C449" s="171" t="s">
        <v>414</v>
      </c>
    </row>
    <row r="450" spans="1:3" x14ac:dyDescent="0.2">
      <c r="A450" s="172">
        <v>452</v>
      </c>
      <c r="B450" s="165" t="s">
        <v>233</v>
      </c>
      <c r="C450" s="171" t="s">
        <v>414</v>
      </c>
    </row>
    <row r="451" spans="1:3" x14ac:dyDescent="0.2">
      <c r="A451" s="172">
        <v>453</v>
      </c>
      <c r="B451" s="165" t="s">
        <v>233</v>
      </c>
      <c r="C451" s="171" t="s">
        <v>414</v>
      </c>
    </row>
    <row r="452" spans="1:3" x14ac:dyDescent="0.2">
      <c r="A452" s="172">
        <v>454</v>
      </c>
      <c r="B452" s="165" t="s">
        <v>233</v>
      </c>
      <c r="C452" s="171" t="s">
        <v>414</v>
      </c>
    </row>
    <row r="453" spans="1:3" x14ac:dyDescent="0.2">
      <c r="A453" s="172">
        <v>455</v>
      </c>
      <c r="B453" s="165" t="s">
        <v>233</v>
      </c>
      <c r="C453" s="171" t="s">
        <v>414</v>
      </c>
    </row>
    <row r="454" spans="1:3" x14ac:dyDescent="0.2">
      <c r="A454" s="172">
        <v>456</v>
      </c>
      <c r="B454" s="165" t="s">
        <v>233</v>
      </c>
      <c r="C454" s="171" t="s">
        <v>414</v>
      </c>
    </row>
    <row r="455" spans="1:3" x14ac:dyDescent="0.2">
      <c r="A455" s="172">
        <v>459</v>
      </c>
      <c r="B455" s="165" t="s">
        <v>233</v>
      </c>
      <c r="C455" s="171" t="s">
        <v>414</v>
      </c>
    </row>
    <row r="456" spans="1:3" x14ac:dyDescent="0.2">
      <c r="A456" s="172">
        <v>460</v>
      </c>
      <c r="B456" s="165" t="s">
        <v>322</v>
      </c>
      <c r="C456" s="171" t="s">
        <v>415</v>
      </c>
    </row>
    <row r="457" spans="1:3" x14ac:dyDescent="0.2">
      <c r="A457" s="172">
        <v>461</v>
      </c>
      <c r="B457" s="165" t="s">
        <v>322</v>
      </c>
      <c r="C457" s="171" t="s">
        <v>415</v>
      </c>
    </row>
    <row r="458" spans="1:3" x14ac:dyDescent="0.2">
      <c r="A458" s="172">
        <v>462</v>
      </c>
      <c r="B458" s="165" t="s">
        <v>323</v>
      </c>
      <c r="C458" s="171" t="s">
        <v>415</v>
      </c>
    </row>
    <row r="459" spans="1:3" x14ac:dyDescent="0.2">
      <c r="A459" s="172">
        <v>463</v>
      </c>
      <c r="B459" s="165" t="s">
        <v>324</v>
      </c>
      <c r="C459" s="171" t="s">
        <v>415</v>
      </c>
    </row>
    <row r="460" spans="1:3" x14ac:dyDescent="0.2">
      <c r="A460" s="172">
        <v>464</v>
      </c>
      <c r="B460" s="165" t="s">
        <v>325</v>
      </c>
      <c r="C460" s="171" t="s">
        <v>414</v>
      </c>
    </row>
    <row r="461" spans="1:3" x14ac:dyDescent="0.2">
      <c r="A461" s="172">
        <v>465</v>
      </c>
      <c r="B461" s="165" t="s">
        <v>326</v>
      </c>
      <c r="C461" s="171" t="s">
        <v>414</v>
      </c>
    </row>
    <row r="462" spans="1:3" x14ac:dyDescent="0.2">
      <c r="A462" s="172">
        <v>466</v>
      </c>
      <c r="B462" s="165" t="s">
        <v>327</v>
      </c>
      <c r="C462" s="171" t="s">
        <v>414</v>
      </c>
    </row>
    <row r="463" spans="1:3" x14ac:dyDescent="0.2">
      <c r="A463" s="172">
        <v>467</v>
      </c>
      <c r="B463" s="165" t="s">
        <v>327</v>
      </c>
      <c r="C463" s="171" t="s">
        <v>414</v>
      </c>
    </row>
    <row r="464" spans="1:3" x14ac:dyDescent="0.2">
      <c r="A464" s="172">
        <v>468</v>
      </c>
      <c r="B464" s="165" t="s">
        <v>327</v>
      </c>
      <c r="C464" s="171" t="s">
        <v>414</v>
      </c>
    </row>
    <row r="465" spans="1:3" x14ac:dyDescent="0.2">
      <c r="A465" s="172">
        <v>469</v>
      </c>
      <c r="B465" s="165" t="s">
        <v>327</v>
      </c>
      <c r="C465" s="171" t="s">
        <v>414</v>
      </c>
    </row>
    <row r="466" spans="1:3" x14ac:dyDescent="0.2">
      <c r="A466" s="172">
        <v>470</v>
      </c>
      <c r="B466" s="165" t="s">
        <v>327</v>
      </c>
      <c r="C466" s="171" t="s">
        <v>414</v>
      </c>
    </row>
    <row r="467" spans="1:3" x14ac:dyDescent="0.2">
      <c r="A467" s="172">
        <v>473</v>
      </c>
      <c r="B467" s="165" t="s">
        <v>328</v>
      </c>
      <c r="C467" s="171" t="s">
        <v>414</v>
      </c>
    </row>
    <row r="468" spans="1:3" x14ac:dyDescent="0.2">
      <c r="A468" s="172">
        <v>474</v>
      </c>
      <c r="B468" s="165" t="s">
        <v>329</v>
      </c>
      <c r="C468" s="171" t="s">
        <v>415</v>
      </c>
    </row>
    <row r="469" spans="1:3" x14ac:dyDescent="0.2">
      <c r="A469" s="172">
        <v>475</v>
      </c>
      <c r="B469" s="165" t="s">
        <v>330</v>
      </c>
      <c r="C469" s="171" t="s">
        <v>414</v>
      </c>
    </row>
    <row r="470" spans="1:3" x14ac:dyDescent="0.2">
      <c r="A470" s="172">
        <v>476</v>
      </c>
      <c r="B470" s="165" t="s">
        <v>331</v>
      </c>
      <c r="C470" s="171" t="s">
        <v>415</v>
      </c>
    </row>
    <row r="471" spans="1:3" x14ac:dyDescent="0.2">
      <c r="A471" s="172">
        <v>477</v>
      </c>
      <c r="B471" s="165" t="s">
        <v>331</v>
      </c>
      <c r="C471" s="171" t="s">
        <v>415</v>
      </c>
    </row>
    <row r="472" spans="1:3" x14ac:dyDescent="0.2">
      <c r="A472" s="172">
        <v>478</v>
      </c>
      <c r="B472" s="165" t="s">
        <v>262</v>
      </c>
      <c r="C472" s="171" t="s">
        <v>414</v>
      </c>
    </row>
    <row r="473" spans="1:3" x14ac:dyDescent="0.2">
      <c r="A473" s="172">
        <v>479</v>
      </c>
      <c r="B473" s="165" t="s">
        <v>319</v>
      </c>
      <c r="C473" s="171" t="s">
        <v>414</v>
      </c>
    </row>
    <row r="474" spans="1:3" x14ac:dyDescent="0.2">
      <c r="A474" s="172">
        <v>480</v>
      </c>
      <c r="B474" s="165" t="s">
        <v>319</v>
      </c>
      <c r="C474" s="171" t="s">
        <v>414</v>
      </c>
    </row>
    <row r="475" spans="1:3" x14ac:dyDescent="0.2">
      <c r="A475" s="172">
        <v>481</v>
      </c>
      <c r="B475" s="165" t="s">
        <v>319</v>
      </c>
      <c r="C475" s="171" t="s">
        <v>414</v>
      </c>
    </row>
    <row r="476" spans="1:3" x14ac:dyDescent="0.2">
      <c r="A476" s="172">
        <v>482</v>
      </c>
      <c r="B476" s="165" t="s">
        <v>332</v>
      </c>
      <c r="C476" s="171" t="s">
        <v>411</v>
      </c>
    </row>
    <row r="477" spans="1:3" x14ac:dyDescent="0.2">
      <c r="A477" s="172">
        <v>483</v>
      </c>
      <c r="B477" s="165" t="s">
        <v>333</v>
      </c>
      <c r="C477" s="171" t="s">
        <v>411</v>
      </c>
    </row>
    <row r="478" spans="1:3" x14ac:dyDescent="0.2">
      <c r="A478" s="172">
        <v>484</v>
      </c>
      <c r="B478" s="165" t="s">
        <v>334</v>
      </c>
      <c r="C478" s="171" t="s">
        <v>411</v>
      </c>
    </row>
    <row r="479" spans="1:3" x14ac:dyDescent="0.2">
      <c r="A479" s="172">
        <v>485</v>
      </c>
      <c r="B479" s="165" t="s">
        <v>335</v>
      </c>
      <c r="C479" s="171" t="s">
        <v>411</v>
      </c>
    </row>
    <row r="480" spans="1:3" x14ac:dyDescent="0.2">
      <c r="A480" s="172">
        <v>486</v>
      </c>
      <c r="B480" s="165" t="s">
        <v>336</v>
      </c>
      <c r="C480" s="171" t="s">
        <v>411</v>
      </c>
    </row>
    <row r="481" spans="1:3" x14ac:dyDescent="0.2">
      <c r="A481" s="172">
        <v>487</v>
      </c>
      <c r="B481" s="165" t="s">
        <v>337</v>
      </c>
      <c r="C481" s="171" t="s">
        <v>411</v>
      </c>
    </row>
    <row r="482" spans="1:3" x14ac:dyDescent="0.2">
      <c r="A482" s="172">
        <v>488</v>
      </c>
      <c r="B482" s="165" t="s">
        <v>338</v>
      </c>
      <c r="C482" s="171" t="s">
        <v>411</v>
      </c>
    </row>
    <row r="483" spans="1:3" x14ac:dyDescent="0.2">
      <c r="A483" s="172">
        <v>489</v>
      </c>
      <c r="B483" s="165" t="s">
        <v>339</v>
      </c>
      <c r="C483" s="171" t="s">
        <v>411</v>
      </c>
    </row>
    <row r="484" spans="1:3" x14ac:dyDescent="0.2">
      <c r="A484" s="172">
        <v>490</v>
      </c>
      <c r="B484" s="165" t="s">
        <v>340</v>
      </c>
      <c r="C484" s="171" t="s">
        <v>411</v>
      </c>
    </row>
    <row r="485" spans="1:3" x14ac:dyDescent="0.2">
      <c r="A485" s="172">
        <v>491</v>
      </c>
      <c r="B485" s="165" t="s">
        <v>341</v>
      </c>
      <c r="C485" s="171" t="s">
        <v>411</v>
      </c>
    </row>
    <row r="486" spans="1:3" x14ac:dyDescent="0.2">
      <c r="A486" s="172">
        <v>492</v>
      </c>
      <c r="B486" s="165" t="s">
        <v>342</v>
      </c>
      <c r="C486" s="171" t="s">
        <v>411</v>
      </c>
    </row>
    <row r="487" spans="1:3" x14ac:dyDescent="0.2">
      <c r="A487" s="172">
        <v>493</v>
      </c>
      <c r="B487" s="165" t="s">
        <v>343</v>
      </c>
      <c r="C487" s="171" t="s">
        <v>411</v>
      </c>
    </row>
    <row r="488" spans="1:3" x14ac:dyDescent="0.2">
      <c r="A488" s="172">
        <v>494</v>
      </c>
      <c r="B488" s="165" t="s">
        <v>344</v>
      </c>
      <c r="C488" s="171" t="s">
        <v>411</v>
      </c>
    </row>
    <row r="489" spans="1:3" x14ac:dyDescent="0.2">
      <c r="A489" s="172">
        <v>495</v>
      </c>
      <c r="B489" s="165" t="s">
        <v>345</v>
      </c>
      <c r="C489" s="171" t="s">
        <v>411</v>
      </c>
    </row>
    <row r="490" spans="1:3" x14ac:dyDescent="0.2">
      <c r="A490" s="172">
        <v>496</v>
      </c>
      <c r="B490" s="165" t="s">
        <v>346</v>
      </c>
      <c r="C490" s="171" t="s">
        <v>411</v>
      </c>
    </row>
    <row r="491" spans="1:3" x14ac:dyDescent="0.2">
      <c r="A491" s="172">
        <v>497</v>
      </c>
      <c r="B491" s="165" t="s">
        <v>347</v>
      </c>
      <c r="C491" s="171" t="s">
        <v>411</v>
      </c>
    </row>
    <row r="492" spans="1:3" x14ac:dyDescent="0.2">
      <c r="A492" s="172">
        <v>498</v>
      </c>
      <c r="B492" s="165" t="s">
        <v>348</v>
      </c>
      <c r="C492" s="171" t="s">
        <v>411</v>
      </c>
    </row>
    <row r="493" spans="1:3" x14ac:dyDescent="0.2">
      <c r="A493" s="172">
        <v>701</v>
      </c>
      <c r="B493" s="165" t="s">
        <v>349</v>
      </c>
      <c r="C493" s="171" t="s">
        <v>415</v>
      </c>
    </row>
    <row r="494" spans="1:3" x14ac:dyDescent="0.2">
      <c r="A494" s="172">
        <v>702</v>
      </c>
      <c r="B494" s="165" t="s">
        <v>349</v>
      </c>
      <c r="C494" s="171" t="s">
        <v>415</v>
      </c>
    </row>
    <row r="495" spans="1:3" x14ac:dyDescent="0.2">
      <c r="A495" s="172">
        <v>703</v>
      </c>
      <c r="B495" s="165" t="s">
        <v>285</v>
      </c>
      <c r="C495" s="171" t="s">
        <v>415</v>
      </c>
    </row>
    <row r="496" spans="1:3" x14ac:dyDescent="0.2">
      <c r="A496" s="172">
        <v>704</v>
      </c>
      <c r="B496" s="165" t="s">
        <v>285</v>
      </c>
      <c r="C496" s="171" t="s">
        <v>415</v>
      </c>
    </row>
    <row r="497" spans="1:3" x14ac:dyDescent="0.2">
      <c r="A497" s="172">
        <v>705</v>
      </c>
      <c r="B497" s="165" t="s">
        <v>285</v>
      </c>
      <c r="C497" s="171" t="s">
        <v>415</v>
      </c>
    </row>
    <row r="498" spans="1:3" x14ac:dyDescent="0.2">
      <c r="A498" s="172">
        <v>706</v>
      </c>
      <c r="B498" s="165" t="s">
        <v>285</v>
      </c>
      <c r="C498" s="171" t="s">
        <v>415</v>
      </c>
    </row>
    <row r="499" spans="1:3" x14ac:dyDescent="0.2">
      <c r="A499" s="172">
        <v>707</v>
      </c>
      <c r="B499" s="165" t="s">
        <v>285</v>
      </c>
      <c r="C499" s="171" t="s">
        <v>415</v>
      </c>
    </row>
    <row r="500" spans="1:3" x14ac:dyDescent="0.2">
      <c r="A500" s="172">
        <v>708</v>
      </c>
      <c r="B500" s="165" t="s">
        <v>285</v>
      </c>
      <c r="C500" s="171" t="s">
        <v>415</v>
      </c>
    </row>
    <row r="501" spans="1:3" x14ac:dyDescent="0.2">
      <c r="A501" s="172">
        <v>709</v>
      </c>
      <c r="B501" s="165" t="s">
        <v>285</v>
      </c>
      <c r="C501" s="171" t="s">
        <v>415</v>
      </c>
    </row>
    <row r="502" spans="1:3" x14ac:dyDescent="0.2">
      <c r="A502" s="172">
        <v>710</v>
      </c>
      <c r="B502" s="165" t="s">
        <v>285</v>
      </c>
      <c r="C502" s="171" t="s">
        <v>415</v>
      </c>
    </row>
    <row r="503" spans="1:3" x14ac:dyDescent="0.2">
      <c r="A503" s="172">
        <v>711</v>
      </c>
      <c r="B503" s="165" t="s">
        <v>285</v>
      </c>
      <c r="C503" s="171" t="s">
        <v>415</v>
      </c>
    </row>
    <row r="504" spans="1:3" x14ac:dyDescent="0.2">
      <c r="A504" s="172">
        <v>712</v>
      </c>
      <c r="B504" s="165" t="s">
        <v>350</v>
      </c>
      <c r="C504" s="171" t="s">
        <v>415</v>
      </c>
    </row>
    <row r="505" spans="1:3" x14ac:dyDescent="0.2">
      <c r="A505" s="172">
        <v>713</v>
      </c>
      <c r="B505" s="165" t="s">
        <v>350</v>
      </c>
      <c r="C505" s="171" t="s">
        <v>415</v>
      </c>
    </row>
    <row r="506" spans="1:3" x14ac:dyDescent="0.2">
      <c r="A506" s="172">
        <v>714</v>
      </c>
      <c r="B506" s="165" t="s">
        <v>350</v>
      </c>
      <c r="C506" s="171" t="s">
        <v>415</v>
      </c>
    </row>
    <row r="507" spans="1:3" x14ac:dyDescent="0.2">
      <c r="A507" s="172">
        <v>715</v>
      </c>
      <c r="B507" s="165" t="s">
        <v>350</v>
      </c>
      <c r="C507" s="171" t="s">
        <v>415</v>
      </c>
    </row>
    <row r="508" spans="1:3" x14ac:dyDescent="0.2">
      <c r="A508" s="172">
        <v>716</v>
      </c>
      <c r="B508" s="165" t="s">
        <v>351</v>
      </c>
      <c r="C508" s="171" t="s">
        <v>415</v>
      </c>
    </row>
    <row r="509" spans="1:3" x14ac:dyDescent="0.2">
      <c r="A509" s="172">
        <v>717</v>
      </c>
      <c r="B509" s="165" t="s">
        <v>351</v>
      </c>
      <c r="C509" s="171" t="s">
        <v>415</v>
      </c>
    </row>
    <row r="510" spans="1:3" x14ac:dyDescent="0.2">
      <c r="A510" s="172">
        <v>718</v>
      </c>
      <c r="B510" s="165" t="s">
        <v>352</v>
      </c>
      <c r="C510" s="171" t="s">
        <v>415</v>
      </c>
    </row>
    <row r="511" spans="1:3" x14ac:dyDescent="0.2">
      <c r="A511" s="172">
        <v>719</v>
      </c>
      <c r="B511" s="165" t="s">
        <v>352</v>
      </c>
      <c r="C511" s="171" t="s">
        <v>415</v>
      </c>
    </row>
    <row r="512" spans="1:3" x14ac:dyDescent="0.2">
      <c r="A512" s="172">
        <v>720</v>
      </c>
      <c r="B512" s="165" t="s">
        <v>220</v>
      </c>
      <c r="C512" s="171" t="s">
        <v>414</v>
      </c>
    </row>
    <row r="513" spans="1:3" x14ac:dyDescent="0.2">
      <c r="A513" s="172">
        <v>721</v>
      </c>
      <c r="B513" s="165" t="s">
        <v>353</v>
      </c>
      <c r="C513" s="171" t="s">
        <v>414</v>
      </c>
    </row>
    <row r="514" spans="1:3" x14ac:dyDescent="0.2">
      <c r="A514" s="172">
        <v>722</v>
      </c>
      <c r="B514" s="165" t="s">
        <v>353</v>
      </c>
      <c r="C514" s="171" t="s">
        <v>414</v>
      </c>
    </row>
    <row r="515" spans="1:3" x14ac:dyDescent="0.2">
      <c r="A515" s="172">
        <v>723</v>
      </c>
      <c r="B515" s="165" t="s">
        <v>353</v>
      </c>
      <c r="C515" s="171" t="s">
        <v>414</v>
      </c>
    </row>
    <row r="516" spans="1:3" x14ac:dyDescent="0.2">
      <c r="A516" s="172">
        <v>724</v>
      </c>
      <c r="B516" s="165" t="s">
        <v>353</v>
      </c>
      <c r="C516" s="171" t="s">
        <v>414</v>
      </c>
    </row>
    <row r="517" spans="1:3" x14ac:dyDescent="0.2">
      <c r="A517" s="172">
        <v>725</v>
      </c>
      <c r="B517" s="165" t="s">
        <v>353</v>
      </c>
      <c r="C517" s="171" t="s">
        <v>414</v>
      </c>
    </row>
    <row r="518" spans="1:3" x14ac:dyDescent="0.2">
      <c r="A518" s="172">
        <v>726</v>
      </c>
      <c r="B518" s="165" t="s">
        <v>353</v>
      </c>
      <c r="C518" s="171" t="s">
        <v>414</v>
      </c>
    </row>
    <row r="519" spans="1:3" x14ac:dyDescent="0.2">
      <c r="A519" s="172">
        <v>727</v>
      </c>
      <c r="B519" s="165" t="s">
        <v>353</v>
      </c>
      <c r="C519" s="171" t="s">
        <v>414</v>
      </c>
    </row>
    <row r="520" spans="1:3" x14ac:dyDescent="0.2">
      <c r="A520" s="172">
        <v>728</v>
      </c>
      <c r="B520" s="165" t="s">
        <v>354</v>
      </c>
      <c r="C520" s="171" t="s">
        <v>414</v>
      </c>
    </row>
    <row r="521" spans="1:3" x14ac:dyDescent="0.2">
      <c r="A521" s="172">
        <v>729</v>
      </c>
      <c r="B521" s="165" t="s">
        <v>353</v>
      </c>
      <c r="C521" s="171" t="s">
        <v>414</v>
      </c>
    </row>
    <row r="522" spans="1:3" x14ac:dyDescent="0.2">
      <c r="A522" s="172">
        <v>730</v>
      </c>
      <c r="B522" s="165" t="s">
        <v>354</v>
      </c>
      <c r="C522" s="171" t="s">
        <v>414</v>
      </c>
    </row>
    <row r="523" spans="1:3" x14ac:dyDescent="0.2">
      <c r="A523" s="172">
        <v>731</v>
      </c>
      <c r="B523" s="165" t="s">
        <v>353</v>
      </c>
      <c r="C523" s="171" t="s">
        <v>414</v>
      </c>
    </row>
    <row r="524" spans="1:3" x14ac:dyDescent="0.2">
      <c r="A524" s="172">
        <v>732</v>
      </c>
      <c r="B524" s="165" t="s">
        <v>354</v>
      </c>
      <c r="C524" s="171" t="s">
        <v>414</v>
      </c>
    </row>
    <row r="525" spans="1:3" x14ac:dyDescent="0.2">
      <c r="A525" s="172">
        <v>733</v>
      </c>
      <c r="B525" s="165" t="s">
        <v>353</v>
      </c>
      <c r="C525" s="171" t="s">
        <v>414</v>
      </c>
    </row>
    <row r="526" spans="1:3" x14ac:dyDescent="0.2">
      <c r="A526" s="172">
        <v>734</v>
      </c>
      <c r="B526" s="165" t="s">
        <v>354</v>
      </c>
      <c r="C526" s="171" t="s">
        <v>414</v>
      </c>
    </row>
    <row r="527" spans="1:3" x14ac:dyDescent="0.2">
      <c r="A527" s="172">
        <v>735</v>
      </c>
      <c r="B527" s="165" t="s">
        <v>353</v>
      </c>
      <c r="C527" s="171" t="s">
        <v>414</v>
      </c>
    </row>
    <row r="528" spans="1:3" x14ac:dyDescent="0.2">
      <c r="A528" s="172">
        <v>736</v>
      </c>
      <c r="B528" s="165" t="s">
        <v>354</v>
      </c>
      <c r="C528" s="171" t="s">
        <v>414</v>
      </c>
    </row>
    <row r="529" spans="1:3" x14ac:dyDescent="0.2">
      <c r="A529" s="172">
        <v>737</v>
      </c>
      <c r="B529" s="165" t="s">
        <v>353</v>
      </c>
      <c r="C529" s="171" t="s">
        <v>414</v>
      </c>
    </row>
    <row r="530" spans="1:3" x14ac:dyDescent="0.2">
      <c r="A530" s="172">
        <v>738</v>
      </c>
      <c r="B530" s="165" t="s">
        <v>354</v>
      </c>
      <c r="C530" s="171" t="s">
        <v>414</v>
      </c>
    </row>
    <row r="531" spans="1:3" x14ac:dyDescent="0.2">
      <c r="A531" s="172">
        <v>739</v>
      </c>
      <c r="B531" s="165" t="s">
        <v>353</v>
      </c>
      <c r="C531" s="171" t="s">
        <v>414</v>
      </c>
    </row>
    <row r="532" spans="1:3" x14ac:dyDescent="0.2">
      <c r="A532" s="172">
        <v>740</v>
      </c>
      <c r="B532" s="165" t="s">
        <v>354</v>
      </c>
      <c r="C532" s="171" t="s">
        <v>414</v>
      </c>
    </row>
    <row r="533" spans="1:3" x14ac:dyDescent="0.2">
      <c r="A533" s="172">
        <v>741</v>
      </c>
      <c r="B533" s="165" t="s">
        <v>353</v>
      </c>
      <c r="C533" s="171" t="s">
        <v>414</v>
      </c>
    </row>
    <row r="534" spans="1:3" x14ac:dyDescent="0.2">
      <c r="A534" s="172">
        <v>742</v>
      </c>
      <c r="B534" s="165" t="s">
        <v>354</v>
      </c>
      <c r="C534" s="171" t="s">
        <v>414</v>
      </c>
    </row>
    <row r="535" spans="1:3" x14ac:dyDescent="0.2">
      <c r="A535" s="172">
        <v>743</v>
      </c>
      <c r="B535" s="165" t="s">
        <v>353</v>
      </c>
      <c r="C535" s="171" t="s">
        <v>414</v>
      </c>
    </row>
    <row r="536" spans="1:3" x14ac:dyDescent="0.2">
      <c r="A536" s="172">
        <v>744</v>
      </c>
      <c r="B536" s="165" t="s">
        <v>354</v>
      </c>
      <c r="C536" s="171" t="s">
        <v>414</v>
      </c>
    </row>
    <row r="537" spans="1:3" x14ac:dyDescent="0.2">
      <c r="A537" s="172">
        <v>745</v>
      </c>
      <c r="B537" s="165" t="s">
        <v>353</v>
      </c>
      <c r="C537" s="171" t="s">
        <v>414</v>
      </c>
    </row>
    <row r="538" spans="1:3" x14ac:dyDescent="0.2">
      <c r="A538" s="172">
        <v>746</v>
      </c>
      <c r="B538" s="165" t="s">
        <v>354</v>
      </c>
      <c r="C538" s="171" t="s">
        <v>414</v>
      </c>
    </row>
    <row r="539" spans="1:3" x14ac:dyDescent="0.2">
      <c r="A539" s="172">
        <v>747</v>
      </c>
      <c r="B539" s="165" t="s">
        <v>353</v>
      </c>
      <c r="C539" s="171" t="s">
        <v>414</v>
      </c>
    </row>
    <row r="540" spans="1:3" x14ac:dyDescent="0.2">
      <c r="A540" s="172">
        <v>748</v>
      </c>
      <c r="B540" s="165" t="s">
        <v>353</v>
      </c>
      <c r="C540" s="171" t="s">
        <v>414</v>
      </c>
    </row>
    <row r="541" spans="1:3" x14ac:dyDescent="0.2">
      <c r="A541" s="172">
        <v>749</v>
      </c>
      <c r="B541" s="165" t="s">
        <v>354</v>
      </c>
      <c r="C541" s="171" t="s">
        <v>414</v>
      </c>
    </row>
    <row r="542" spans="1:3" x14ac:dyDescent="0.2">
      <c r="A542" s="172">
        <v>752</v>
      </c>
      <c r="B542" s="165" t="s">
        <v>353</v>
      </c>
      <c r="C542" s="171" t="s">
        <v>414</v>
      </c>
    </row>
    <row r="543" spans="1:3" x14ac:dyDescent="0.2">
      <c r="A543" s="172">
        <v>753</v>
      </c>
      <c r="B543" s="165" t="s">
        <v>355</v>
      </c>
      <c r="C543" s="171" t="s">
        <v>414</v>
      </c>
    </row>
    <row r="544" spans="1:3" x14ac:dyDescent="0.2">
      <c r="A544" s="172">
        <v>754</v>
      </c>
      <c r="B544" s="165" t="s">
        <v>353</v>
      </c>
      <c r="C544" s="171" t="s">
        <v>414</v>
      </c>
    </row>
    <row r="545" spans="1:3" x14ac:dyDescent="0.2">
      <c r="A545" s="172">
        <v>755</v>
      </c>
      <c r="B545" s="165" t="s">
        <v>355</v>
      </c>
      <c r="C545" s="171" t="s">
        <v>414</v>
      </c>
    </row>
    <row r="546" spans="1:3" x14ac:dyDescent="0.2">
      <c r="A546" s="172">
        <v>756</v>
      </c>
      <c r="B546" s="165" t="s">
        <v>353</v>
      </c>
      <c r="C546" s="171" t="s">
        <v>414</v>
      </c>
    </row>
    <row r="547" spans="1:3" x14ac:dyDescent="0.2">
      <c r="A547" s="172">
        <v>757</v>
      </c>
      <c r="B547" s="165" t="s">
        <v>355</v>
      </c>
      <c r="C547" s="171" t="s">
        <v>414</v>
      </c>
    </row>
    <row r="548" spans="1:3" x14ac:dyDescent="0.2">
      <c r="A548" s="172">
        <v>758</v>
      </c>
      <c r="B548" s="165" t="s">
        <v>353</v>
      </c>
      <c r="C548" s="171" t="s">
        <v>414</v>
      </c>
    </row>
    <row r="549" spans="1:3" x14ac:dyDescent="0.2">
      <c r="A549" s="172">
        <v>759</v>
      </c>
      <c r="B549" s="165" t="s">
        <v>355</v>
      </c>
      <c r="C549" s="171" t="s">
        <v>414</v>
      </c>
    </row>
    <row r="550" spans="1:3" x14ac:dyDescent="0.2">
      <c r="A550" s="172">
        <v>760</v>
      </c>
      <c r="B550" s="165" t="s">
        <v>353</v>
      </c>
      <c r="C550" s="171" t="s">
        <v>414</v>
      </c>
    </row>
    <row r="551" spans="1:3" x14ac:dyDescent="0.2">
      <c r="A551" s="172">
        <v>761</v>
      </c>
      <c r="B551" s="165" t="s">
        <v>355</v>
      </c>
      <c r="C551" s="171" t="s">
        <v>414</v>
      </c>
    </row>
    <row r="552" spans="1:3" x14ac:dyDescent="0.2">
      <c r="A552" s="172">
        <v>762</v>
      </c>
      <c r="B552" s="165" t="s">
        <v>353</v>
      </c>
      <c r="C552" s="171" t="s">
        <v>414</v>
      </c>
    </row>
    <row r="553" spans="1:3" x14ac:dyDescent="0.2">
      <c r="A553" s="172">
        <v>763</v>
      </c>
      <c r="B553" s="165" t="s">
        <v>355</v>
      </c>
      <c r="C553" s="171" t="s">
        <v>414</v>
      </c>
    </row>
    <row r="554" spans="1:3" x14ac:dyDescent="0.2">
      <c r="A554" s="172">
        <v>764</v>
      </c>
      <c r="B554" s="165" t="s">
        <v>353</v>
      </c>
      <c r="C554" s="171" t="s">
        <v>414</v>
      </c>
    </row>
    <row r="555" spans="1:3" x14ac:dyDescent="0.2">
      <c r="A555" s="172">
        <v>765</v>
      </c>
      <c r="B555" s="165" t="s">
        <v>355</v>
      </c>
      <c r="C555" s="171" t="s">
        <v>414</v>
      </c>
    </row>
    <row r="556" spans="1:3" x14ac:dyDescent="0.2">
      <c r="A556" s="172">
        <v>766</v>
      </c>
      <c r="B556" s="165" t="s">
        <v>353</v>
      </c>
      <c r="C556" s="171" t="s">
        <v>414</v>
      </c>
    </row>
    <row r="557" spans="1:3" x14ac:dyDescent="0.2">
      <c r="A557" s="172">
        <v>767</v>
      </c>
      <c r="B557" s="165" t="s">
        <v>355</v>
      </c>
      <c r="C557" s="171" t="s">
        <v>414</v>
      </c>
    </row>
    <row r="558" spans="1:3" x14ac:dyDescent="0.2">
      <c r="A558" s="172">
        <v>768</v>
      </c>
      <c r="B558" s="165" t="s">
        <v>353</v>
      </c>
      <c r="C558" s="171" t="s">
        <v>414</v>
      </c>
    </row>
    <row r="559" spans="1:3" x14ac:dyDescent="0.2">
      <c r="A559" s="172">
        <v>769</v>
      </c>
      <c r="B559" s="165" t="s">
        <v>355</v>
      </c>
      <c r="C559" s="171" t="s">
        <v>414</v>
      </c>
    </row>
    <row r="560" spans="1:3" x14ac:dyDescent="0.2">
      <c r="A560" s="172">
        <v>770</v>
      </c>
      <c r="B560" s="165" t="s">
        <v>356</v>
      </c>
      <c r="C560" s="171" t="s">
        <v>414</v>
      </c>
    </row>
    <row r="561" spans="1:3" x14ac:dyDescent="0.2">
      <c r="A561" s="172">
        <v>775</v>
      </c>
      <c r="B561" s="165" t="s">
        <v>357</v>
      </c>
      <c r="C561" s="171" t="s">
        <v>414</v>
      </c>
    </row>
    <row r="562" spans="1:3" x14ac:dyDescent="0.2">
      <c r="A562" s="172">
        <v>776</v>
      </c>
      <c r="B562" s="165" t="s">
        <v>357</v>
      </c>
      <c r="C562" s="171" t="s">
        <v>414</v>
      </c>
    </row>
    <row r="563" spans="1:3" x14ac:dyDescent="0.2">
      <c r="A563" s="172">
        <v>781</v>
      </c>
      <c r="B563" s="165" t="s">
        <v>353</v>
      </c>
      <c r="C563" s="171" t="s">
        <v>415</v>
      </c>
    </row>
    <row r="564" spans="1:3" x14ac:dyDescent="0.2">
      <c r="A564" s="172">
        <v>782</v>
      </c>
      <c r="B564" s="165" t="s">
        <v>353</v>
      </c>
      <c r="C564" s="171" t="s">
        <v>414</v>
      </c>
    </row>
    <row r="565" spans="1:3" x14ac:dyDescent="0.2">
      <c r="A565" s="172">
        <v>783</v>
      </c>
      <c r="B565" s="165" t="s">
        <v>353</v>
      </c>
      <c r="C565" s="171" t="s">
        <v>414</v>
      </c>
    </row>
    <row r="566" spans="1:3" x14ac:dyDescent="0.2">
      <c r="A566" s="172">
        <v>784</v>
      </c>
      <c r="B566" s="165" t="s">
        <v>353</v>
      </c>
      <c r="C566" s="171" t="s">
        <v>414</v>
      </c>
    </row>
    <row r="567" spans="1:3" x14ac:dyDescent="0.2">
      <c r="A567" s="172">
        <v>785</v>
      </c>
      <c r="B567" s="165" t="s">
        <v>353</v>
      </c>
      <c r="C567" s="171" t="s">
        <v>414</v>
      </c>
    </row>
    <row r="568" spans="1:3" x14ac:dyDescent="0.2">
      <c r="A568" s="172">
        <v>786</v>
      </c>
      <c r="B568" s="165" t="s">
        <v>353</v>
      </c>
      <c r="C568" s="171" t="s">
        <v>414</v>
      </c>
    </row>
    <row r="569" spans="1:3" x14ac:dyDescent="0.2">
      <c r="A569" s="172">
        <v>787</v>
      </c>
      <c r="B569" s="165" t="s">
        <v>358</v>
      </c>
      <c r="C569" s="171" t="s">
        <v>414</v>
      </c>
    </row>
    <row r="570" spans="1:3" x14ac:dyDescent="0.2">
      <c r="A570" s="172">
        <v>788</v>
      </c>
      <c r="B570" s="165" t="s">
        <v>359</v>
      </c>
      <c r="C570" s="171" t="s">
        <v>414</v>
      </c>
    </row>
    <row r="571" spans="1:3" x14ac:dyDescent="0.2">
      <c r="A571" s="172">
        <v>789</v>
      </c>
      <c r="B571" s="165" t="s">
        <v>360</v>
      </c>
      <c r="C571" s="171" t="s">
        <v>414</v>
      </c>
    </row>
    <row r="572" spans="1:3" x14ac:dyDescent="0.2">
      <c r="A572" s="172">
        <v>790</v>
      </c>
      <c r="B572" s="165" t="s">
        <v>361</v>
      </c>
      <c r="C572" s="171" t="s">
        <v>414</v>
      </c>
    </row>
    <row r="573" spans="1:3" x14ac:dyDescent="0.2">
      <c r="A573" s="172">
        <v>791</v>
      </c>
      <c r="B573" s="165" t="s">
        <v>362</v>
      </c>
      <c r="C573" s="171" t="s">
        <v>414</v>
      </c>
    </row>
    <row r="574" spans="1:3" x14ac:dyDescent="0.2">
      <c r="A574" s="172">
        <v>792</v>
      </c>
      <c r="B574" s="165" t="s">
        <v>363</v>
      </c>
      <c r="C574" s="171" t="s">
        <v>414</v>
      </c>
    </row>
    <row r="575" spans="1:3" x14ac:dyDescent="0.2">
      <c r="A575" s="172">
        <v>793</v>
      </c>
      <c r="B575" s="165" t="s">
        <v>353</v>
      </c>
      <c r="C575" s="171" t="s">
        <v>414</v>
      </c>
    </row>
    <row r="576" spans="1:3" x14ac:dyDescent="0.2">
      <c r="A576" s="172">
        <v>794</v>
      </c>
      <c r="B576" s="165" t="s">
        <v>354</v>
      </c>
      <c r="C576" s="171" t="s">
        <v>414</v>
      </c>
    </row>
    <row r="577" spans="1:3" x14ac:dyDescent="0.2">
      <c r="A577" s="172">
        <v>801</v>
      </c>
      <c r="B577" s="165" t="s">
        <v>282</v>
      </c>
      <c r="C577" s="171" t="s">
        <v>414</v>
      </c>
    </row>
    <row r="578" spans="1:3" x14ac:dyDescent="0.2">
      <c r="A578" s="172">
        <v>802</v>
      </c>
      <c r="B578" s="165" t="s">
        <v>364</v>
      </c>
      <c r="C578" s="171" t="s">
        <v>414</v>
      </c>
    </row>
    <row r="579" spans="1:3" x14ac:dyDescent="0.2">
      <c r="A579" s="172">
        <v>803</v>
      </c>
      <c r="B579" s="165" t="s">
        <v>365</v>
      </c>
      <c r="C579" s="171" t="s">
        <v>415</v>
      </c>
    </row>
    <row r="580" spans="1:3" x14ac:dyDescent="0.2">
      <c r="A580" s="172">
        <v>804</v>
      </c>
      <c r="B580" s="165" t="s">
        <v>364</v>
      </c>
      <c r="C580" s="171" t="s">
        <v>414</v>
      </c>
    </row>
    <row r="581" spans="1:3" x14ac:dyDescent="0.2">
      <c r="A581" s="172">
        <v>805</v>
      </c>
      <c r="B581" s="165" t="s">
        <v>365</v>
      </c>
      <c r="C581" s="171" t="s">
        <v>415</v>
      </c>
    </row>
    <row r="582" spans="1:3" x14ac:dyDescent="0.2">
      <c r="A582" s="172">
        <v>806</v>
      </c>
      <c r="B582" s="165" t="s">
        <v>364</v>
      </c>
      <c r="C582" s="171" t="s">
        <v>414</v>
      </c>
    </row>
    <row r="583" spans="1:3" x14ac:dyDescent="0.2">
      <c r="A583" s="172">
        <v>807</v>
      </c>
      <c r="B583" s="165" t="s">
        <v>365</v>
      </c>
      <c r="C583" s="171" t="s">
        <v>415</v>
      </c>
    </row>
    <row r="584" spans="1:3" x14ac:dyDescent="0.2">
      <c r="A584" s="172">
        <v>808</v>
      </c>
      <c r="B584" s="165" t="s">
        <v>364</v>
      </c>
      <c r="C584" s="171" t="s">
        <v>414</v>
      </c>
    </row>
    <row r="585" spans="1:3" x14ac:dyDescent="0.2">
      <c r="A585" s="172">
        <v>809</v>
      </c>
      <c r="B585" s="165" t="s">
        <v>365</v>
      </c>
      <c r="C585" s="171" t="s">
        <v>415</v>
      </c>
    </row>
    <row r="586" spans="1:3" x14ac:dyDescent="0.2">
      <c r="A586" s="172">
        <v>810</v>
      </c>
      <c r="B586" s="165" t="s">
        <v>364</v>
      </c>
      <c r="C586" s="171" t="s">
        <v>414</v>
      </c>
    </row>
    <row r="587" spans="1:3" x14ac:dyDescent="0.2">
      <c r="A587" s="172">
        <v>811</v>
      </c>
      <c r="B587" s="165" t="s">
        <v>365</v>
      </c>
      <c r="C587" s="171" t="s">
        <v>415</v>
      </c>
    </row>
    <row r="588" spans="1:3" x14ac:dyDescent="0.2">
      <c r="A588" s="172">
        <v>812</v>
      </c>
      <c r="B588" s="165" t="s">
        <v>364</v>
      </c>
      <c r="C588" s="171" t="s">
        <v>414</v>
      </c>
    </row>
    <row r="589" spans="1:3" x14ac:dyDescent="0.2">
      <c r="A589" s="172">
        <v>813</v>
      </c>
      <c r="B589" s="165" t="s">
        <v>365</v>
      </c>
      <c r="C589" s="171" t="s">
        <v>415</v>
      </c>
    </row>
    <row r="590" spans="1:3" x14ac:dyDescent="0.2">
      <c r="A590" s="172">
        <v>814</v>
      </c>
      <c r="B590" s="165" t="s">
        <v>364</v>
      </c>
      <c r="C590" s="171" t="s">
        <v>414</v>
      </c>
    </row>
    <row r="591" spans="1:3" x14ac:dyDescent="0.2">
      <c r="A591" s="172">
        <v>815</v>
      </c>
      <c r="B591" s="165" t="s">
        <v>365</v>
      </c>
      <c r="C591" s="171" t="s">
        <v>415</v>
      </c>
    </row>
    <row r="592" spans="1:3" x14ac:dyDescent="0.2">
      <c r="A592" s="172">
        <v>816</v>
      </c>
      <c r="B592" s="165" t="s">
        <v>364</v>
      </c>
      <c r="C592" s="171" t="s">
        <v>414</v>
      </c>
    </row>
    <row r="593" spans="1:3" x14ac:dyDescent="0.2">
      <c r="A593" s="172">
        <v>817</v>
      </c>
      <c r="B593" s="165" t="s">
        <v>365</v>
      </c>
      <c r="C593" s="171" t="s">
        <v>415</v>
      </c>
    </row>
    <row r="594" spans="1:3" x14ac:dyDescent="0.2">
      <c r="A594" s="172">
        <v>818</v>
      </c>
      <c r="B594" s="165" t="s">
        <v>364</v>
      </c>
      <c r="C594" s="171" t="s">
        <v>414</v>
      </c>
    </row>
    <row r="595" spans="1:3" x14ac:dyDescent="0.2">
      <c r="A595" s="172">
        <v>819</v>
      </c>
      <c r="B595" s="165" t="s">
        <v>365</v>
      </c>
      <c r="C595" s="171" t="s">
        <v>415</v>
      </c>
    </row>
    <row r="596" spans="1:3" x14ac:dyDescent="0.2">
      <c r="A596" s="172">
        <v>820</v>
      </c>
      <c r="B596" s="165" t="s">
        <v>364</v>
      </c>
      <c r="C596" s="171" t="s">
        <v>414</v>
      </c>
    </row>
    <row r="597" spans="1:3" x14ac:dyDescent="0.2">
      <c r="A597" s="172">
        <v>821</v>
      </c>
      <c r="B597" s="165" t="s">
        <v>365</v>
      </c>
      <c r="C597" s="171" t="s">
        <v>415</v>
      </c>
    </row>
    <row r="598" spans="1:3" x14ac:dyDescent="0.2">
      <c r="A598" s="172">
        <v>822</v>
      </c>
      <c r="B598" s="165" t="s">
        <v>364</v>
      </c>
      <c r="C598" s="171" t="s">
        <v>414</v>
      </c>
    </row>
    <row r="599" spans="1:3" x14ac:dyDescent="0.2">
      <c r="A599" s="172">
        <v>823</v>
      </c>
      <c r="B599" s="165" t="s">
        <v>365</v>
      </c>
      <c r="C599" s="171" t="s">
        <v>415</v>
      </c>
    </row>
    <row r="600" spans="1:3" x14ac:dyDescent="0.2">
      <c r="A600" s="172">
        <v>824</v>
      </c>
      <c r="B600" s="165" t="s">
        <v>364</v>
      </c>
      <c r="C600" s="171" t="s">
        <v>414</v>
      </c>
    </row>
    <row r="601" spans="1:3" x14ac:dyDescent="0.2">
      <c r="A601" s="172">
        <v>825</v>
      </c>
      <c r="B601" s="165" t="s">
        <v>365</v>
      </c>
      <c r="C601" s="171" t="s">
        <v>415</v>
      </c>
    </row>
    <row r="602" spans="1:3" x14ac:dyDescent="0.2">
      <c r="A602" s="172">
        <v>826</v>
      </c>
      <c r="B602" s="165" t="s">
        <v>364</v>
      </c>
      <c r="C602" s="171" t="s">
        <v>414</v>
      </c>
    </row>
    <row r="603" spans="1:3" x14ac:dyDescent="0.2">
      <c r="A603" s="172">
        <v>827</v>
      </c>
      <c r="B603" s="165" t="s">
        <v>365</v>
      </c>
      <c r="C603" s="171" t="s">
        <v>415</v>
      </c>
    </row>
    <row r="604" spans="1:3" x14ac:dyDescent="0.2">
      <c r="A604" s="172">
        <v>828</v>
      </c>
      <c r="B604" s="165" t="s">
        <v>364</v>
      </c>
      <c r="C604" s="171" t="s">
        <v>414</v>
      </c>
    </row>
    <row r="605" spans="1:3" x14ac:dyDescent="0.2">
      <c r="A605" s="172">
        <v>829</v>
      </c>
      <c r="B605" s="165" t="s">
        <v>365</v>
      </c>
      <c r="C605" s="171" t="s">
        <v>415</v>
      </c>
    </row>
    <row r="606" spans="1:3" x14ac:dyDescent="0.2">
      <c r="A606" s="172">
        <v>830</v>
      </c>
      <c r="B606" s="165" t="s">
        <v>364</v>
      </c>
      <c r="C606" s="171" t="s">
        <v>414</v>
      </c>
    </row>
    <row r="607" spans="1:3" x14ac:dyDescent="0.2">
      <c r="A607" s="172">
        <v>831</v>
      </c>
      <c r="B607" s="165" t="s">
        <v>365</v>
      </c>
      <c r="C607" s="171" t="s">
        <v>415</v>
      </c>
    </row>
    <row r="608" spans="1:3" x14ac:dyDescent="0.2">
      <c r="A608" s="172">
        <v>832</v>
      </c>
      <c r="B608" s="165" t="s">
        <v>364</v>
      </c>
      <c r="C608" s="171" t="s">
        <v>414</v>
      </c>
    </row>
    <row r="609" spans="1:3" x14ac:dyDescent="0.2">
      <c r="A609" s="172">
        <v>833</v>
      </c>
      <c r="B609" s="165" t="s">
        <v>365</v>
      </c>
      <c r="C609" s="171" t="s">
        <v>415</v>
      </c>
    </row>
    <row r="610" spans="1:3" x14ac:dyDescent="0.2">
      <c r="A610" s="172">
        <v>834</v>
      </c>
      <c r="B610" s="165" t="s">
        <v>364</v>
      </c>
      <c r="C610" s="171" t="s">
        <v>414</v>
      </c>
    </row>
    <row r="611" spans="1:3" x14ac:dyDescent="0.2">
      <c r="A611" s="172">
        <v>835</v>
      </c>
      <c r="B611" s="165" t="s">
        <v>365</v>
      </c>
      <c r="C611" s="171" t="s">
        <v>415</v>
      </c>
    </row>
    <row r="612" spans="1:3" x14ac:dyDescent="0.2">
      <c r="A612" s="172">
        <v>836</v>
      </c>
      <c r="B612" s="165" t="s">
        <v>364</v>
      </c>
      <c r="C612" s="171" t="s">
        <v>414</v>
      </c>
    </row>
    <row r="613" spans="1:3" x14ac:dyDescent="0.2">
      <c r="A613" s="172">
        <v>837</v>
      </c>
      <c r="B613" s="165" t="s">
        <v>365</v>
      </c>
      <c r="C613" s="171" t="s">
        <v>415</v>
      </c>
    </row>
    <row r="614" spans="1:3" x14ac:dyDescent="0.2">
      <c r="A614" s="172">
        <v>838</v>
      </c>
      <c r="B614" s="165" t="s">
        <v>364</v>
      </c>
      <c r="C614" s="171" t="s">
        <v>414</v>
      </c>
    </row>
    <row r="615" spans="1:3" x14ac:dyDescent="0.2">
      <c r="A615" s="172">
        <v>839</v>
      </c>
      <c r="B615" s="165" t="s">
        <v>365</v>
      </c>
      <c r="C615" s="171" t="s">
        <v>415</v>
      </c>
    </row>
    <row r="616" spans="1:3" x14ac:dyDescent="0.2">
      <c r="A616" s="172">
        <v>840</v>
      </c>
      <c r="B616" s="165" t="s">
        <v>364</v>
      </c>
      <c r="C616" s="171" t="s">
        <v>414</v>
      </c>
    </row>
    <row r="617" spans="1:3" x14ac:dyDescent="0.2">
      <c r="A617" s="172">
        <v>841</v>
      </c>
      <c r="B617" s="165" t="s">
        <v>365</v>
      </c>
      <c r="C617" s="171" t="s">
        <v>415</v>
      </c>
    </row>
    <row r="618" spans="1:3" x14ac:dyDescent="0.2">
      <c r="A618" s="172">
        <v>842</v>
      </c>
      <c r="B618" s="165" t="s">
        <v>364</v>
      </c>
      <c r="C618" s="171" t="s">
        <v>414</v>
      </c>
    </row>
    <row r="619" spans="1:3" x14ac:dyDescent="0.2">
      <c r="A619" s="172">
        <v>843</v>
      </c>
      <c r="B619" s="165" t="s">
        <v>365</v>
      </c>
      <c r="C619" s="171" t="s">
        <v>415</v>
      </c>
    </row>
    <row r="620" spans="1:3" x14ac:dyDescent="0.2">
      <c r="A620" s="172">
        <v>844</v>
      </c>
      <c r="B620" s="165" t="s">
        <v>364</v>
      </c>
      <c r="C620" s="171" t="s">
        <v>414</v>
      </c>
    </row>
    <row r="621" spans="1:3" x14ac:dyDescent="0.2">
      <c r="A621" s="172">
        <v>845</v>
      </c>
      <c r="B621" s="165" t="s">
        <v>365</v>
      </c>
      <c r="C621" s="171" t="s">
        <v>415</v>
      </c>
    </row>
    <row r="622" spans="1:3" x14ac:dyDescent="0.2">
      <c r="A622" s="172">
        <v>846</v>
      </c>
      <c r="B622" s="165" t="s">
        <v>364</v>
      </c>
      <c r="C622" s="171" t="s">
        <v>414</v>
      </c>
    </row>
    <row r="623" spans="1:3" x14ac:dyDescent="0.2">
      <c r="A623" s="172">
        <v>847</v>
      </c>
      <c r="B623" s="165" t="s">
        <v>365</v>
      </c>
      <c r="C623" s="171" t="s">
        <v>415</v>
      </c>
    </row>
    <row r="624" spans="1:3" x14ac:dyDescent="0.2">
      <c r="A624" s="172">
        <v>848</v>
      </c>
      <c r="B624" s="165" t="s">
        <v>364</v>
      </c>
      <c r="C624" s="171" t="s">
        <v>414</v>
      </c>
    </row>
    <row r="625" spans="1:3" x14ac:dyDescent="0.2">
      <c r="A625" s="172">
        <v>849</v>
      </c>
      <c r="B625" s="165" t="s">
        <v>365</v>
      </c>
      <c r="C625" s="171" t="s">
        <v>415</v>
      </c>
    </row>
    <row r="626" spans="1:3" x14ac:dyDescent="0.2">
      <c r="A626" s="172">
        <v>850</v>
      </c>
      <c r="B626" s="165" t="s">
        <v>365</v>
      </c>
      <c r="C626" s="171" t="s">
        <v>415</v>
      </c>
    </row>
    <row r="627" spans="1:3" x14ac:dyDescent="0.2">
      <c r="A627" s="172">
        <v>851</v>
      </c>
      <c r="B627" s="165" t="s">
        <v>365</v>
      </c>
      <c r="C627" s="171" t="s">
        <v>415</v>
      </c>
    </row>
    <row r="628" spans="1:3" x14ac:dyDescent="0.2">
      <c r="A628" s="172">
        <v>852</v>
      </c>
      <c r="B628" s="165" t="s">
        <v>364</v>
      </c>
      <c r="C628" s="171" t="s">
        <v>414</v>
      </c>
    </row>
    <row r="629" spans="1:3" x14ac:dyDescent="0.2">
      <c r="A629" s="172">
        <v>853</v>
      </c>
      <c r="B629" s="165" t="s">
        <v>364</v>
      </c>
      <c r="C629" s="171" t="s">
        <v>414</v>
      </c>
    </row>
    <row r="630" spans="1:3" x14ac:dyDescent="0.2">
      <c r="A630" s="172">
        <v>854</v>
      </c>
      <c r="B630" s="165" t="s">
        <v>364</v>
      </c>
      <c r="C630" s="171" t="s">
        <v>414</v>
      </c>
    </row>
    <row r="631" spans="1:3" x14ac:dyDescent="0.2">
      <c r="A631" s="172">
        <v>855</v>
      </c>
      <c r="B631" s="165" t="s">
        <v>364</v>
      </c>
      <c r="C631" s="171" t="s">
        <v>414</v>
      </c>
    </row>
    <row r="632" spans="1:3" x14ac:dyDescent="0.2">
      <c r="A632" s="172">
        <v>856</v>
      </c>
      <c r="B632" s="165" t="s">
        <v>364</v>
      </c>
      <c r="C632" s="171" t="s">
        <v>414</v>
      </c>
    </row>
    <row r="633" spans="1:3" x14ac:dyDescent="0.2">
      <c r="A633" s="172">
        <v>857</v>
      </c>
      <c r="B633" s="165" t="s">
        <v>364</v>
      </c>
      <c r="C633" s="171" t="s">
        <v>414</v>
      </c>
    </row>
    <row r="634" spans="1:3" x14ac:dyDescent="0.2">
      <c r="A634" s="172">
        <v>858</v>
      </c>
      <c r="B634" s="165" t="s">
        <v>364</v>
      </c>
      <c r="C634" s="171" t="s">
        <v>414</v>
      </c>
    </row>
    <row r="635" spans="1:3" x14ac:dyDescent="0.2">
      <c r="A635" s="172">
        <v>859</v>
      </c>
      <c r="B635" s="165" t="s">
        <v>364</v>
      </c>
      <c r="C635" s="171" t="s">
        <v>414</v>
      </c>
    </row>
    <row r="636" spans="1:3" x14ac:dyDescent="0.2">
      <c r="A636" s="172">
        <v>860</v>
      </c>
      <c r="B636" s="165" t="s">
        <v>364</v>
      </c>
      <c r="C636" s="171" t="s">
        <v>414</v>
      </c>
    </row>
    <row r="637" spans="1:3" x14ac:dyDescent="0.2">
      <c r="A637" s="172">
        <v>861</v>
      </c>
      <c r="B637" s="165" t="s">
        <v>364</v>
      </c>
      <c r="C637" s="171" t="s">
        <v>414</v>
      </c>
    </row>
    <row r="638" spans="1:3" x14ac:dyDescent="0.2">
      <c r="A638" s="172">
        <v>862</v>
      </c>
      <c r="B638" s="165" t="s">
        <v>364</v>
      </c>
      <c r="C638" s="171" t="s">
        <v>414</v>
      </c>
    </row>
    <row r="639" spans="1:3" x14ac:dyDescent="0.2">
      <c r="A639" s="172">
        <v>863</v>
      </c>
      <c r="B639" s="165" t="s">
        <v>364</v>
      </c>
      <c r="C639" s="171" t="s">
        <v>414</v>
      </c>
    </row>
    <row r="640" spans="1:3" x14ac:dyDescent="0.2">
      <c r="A640" s="172">
        <v>864</v>
      </c>
      <c r="B640" s="165" t="s">
        <v>364</v>
      </c>
      <c r="C640" s="171" t="s">
        <v>414</v>
      </c>
    </row>
    <row r="641" spans="1:3" x14ac:dyDescent="0.2">
      <c r="A641" s="172">
        <v>865</v>
      </c>
      <c r="B641" s="165" t="s">
        <v>364</v>
      </c>
      <c r="C641" s="171" t="s">
        <v>414</v>
      </c>
    </row>
    <row r="642" spans="1:3" x14ac:dyDescent="0.2">
      <c r="A642" s="172">
        <v>866</v>
      </c>
      <c r="B642" s="165" t="s">
        <v>365</v>
      </c>
      <c r="C642" s="171" t="s">
        <v>415</v>
      </c>
    </row>
    <row r="643" spans="1:3" x14ac:dyDescent="0.2">
      <c r="A643" s="172">
        <v>867</v>
      </c>
      <c r="B643" s="165" t="s">
        <v>364</v>
      </c>
      <c r="C643" s="171" t="s">
        <v>414</v>
      </c>
    </row>
    <row r="644" spans="1:3" x14ac:dyDescent="0.2">
      <c r="A644" s="172">
        <v>868</v>
      </c>
      <c r="B644" s="165" t="s">
        <v>365</v>
      </c>
      <c r="C644" s="171" t="s">
        <v>415</v>
      </c>
    </row>
    <row r="645" spans="1:3" x14ac:dyDescent="0.2">
      <c r="A645" s="172">
        <v>869</v>
      </c>
      <c r="B645" s="165" t="s">
        <v>364</v>
      </c>
      <c r="C645" s="171" t="s">
        <v>414</v>
      </c>
    </row>
    <row r="646" spans="1:3" x14ac:dyDescent="0.2">
      <c r="A646" s="172">
        <v>870</v>
      </c>
      <c r="B646" s="165" t="s">
        <v>365</v>
      </c>
      <c r="C646" s="171" t="s">
        <v>415</v>
      </c>
    </row>
    <row r="647" spans="1:3" x14ac:dyDescent="0.2">
      <c r="A647" s="172">
        <v>871</v>
      </c>
      <c r="B647" s="165" t="s">
        <v>364</v>
      </c>
      <c r="C647" s="171" t="s">
        <v>414</v>
      </c>
    </row>
    <row r="648" spans="1:3" x14ac:dyDescent="0.2">
      <c r="A648" s="172">
        <v>872</v>
      </c>
      <c r="B648" s="165" t="s">
        <v>365</v>
      </c>
      <c r="C648" s="171" t="s">
        <v>415</v>
      </c>
    </row>
    <row r="649" spans="1:3" x14ac:dyDescent="0.2">
      <c r="A649" s="172">
        <v>873</v>
      </c>
      <c r="B649" s="165" t="s">
        <v>364</v>
      </c>
      <c r="C649" s="171" t="s">
        <v>414</v>
      </c>
    </row>
    <row r="650" spans="1:3" x14ac:dyDescent="0.2">
      <c r="A650" s="172">
        <v>874</v>
      </c>
      <c r="B650" s="165" t="s">
        <v>365</v>
      </c>
      <c r="C650" s="171" t="s">
        <v>415</v>
      </c>
    </row>
    <row r="651" spans="1:3" x14ac:dyDescent="0.2">
      <c r="A651" s="172">
        <v>875</v>
      </c>
      <c r="B651" s="165" t="s">
        <v>364</v>
      </c>
      <c r="C651" s="171" t="s">
        <v>414</v>
      </c>
    </row>
    <row r="652" spans="1:3" x14ac:dyDescent="0.2">
      <c r="A652" s="172">
        <v>876</v>
      </c>
      <c r="B652" s="165" t="s">
        <v>365</v>
      </c>
      <c r="C652" s="171" t="s">
        <v>415</v>
      </c>
    </row>
    <row r="653" spans="1:3" x14ac:dyDescent="0.2">
      <c r="A653" s="172">
        <v>877</v>
      </c>
      <c r="B653" s="165" t="s">
        <v>364</v>
      </c>
      <c r="C653" s="171" t="s">
        <v>414</v>
      </c>
    </row>
    <row r="654" spans="1:3" x14ac:dyDescent="0.2">
      <c r="A654" s="172">
        <v>878</v>
      </c>
      <c r="B654" s="165" t="s">
        <v>365</v>
      </c>
      <c r="C654" s="171" t="s">
        <v>415</v>
      </c>
    </row>
    <row r="655" spans="1:3" x14ac:dyDescent="0.2">
      <c r="A655" s="172">
        <v>879</v>
      </c>
      <c r="B655" s="165" t="s">
        <v>364</v>
      </c>
      <c r="C655" s="171" t="s">
        <v>414</v>
      </c>
    </row>
    <row r="656" spans="1:3" x14ac:dyDescent="0.2">
      <c r="A656" s="172">
        <v>880</v>
      </c>
      <c r="B656" s="165" t="s">
        <v>365</v>
      </c>
      <c r="C656" s="171" t="s">
        <v>415</v>
      </c>
    </row>
    <row r="657" spans="1:3" x14ac:dyDescent="0.2">
      <c r="A657" s="172">
        <v>881</v>
      </c>
      <c r="B657" s="165" t="s">
        <v>364</v>
      </c>
      <c r="C657" s="171" t="s">
        <v>414</v>
      </c>
    </row>
    <row r="658" spans="1:3" x14ac:dyDescent="0.2">
      <c r="A658" s="172">
        <v>882</v>
      </c>
      <c r="B658" s="165" t="s">
        <v>365</v>
      </c>
      <c r="C658" s="171" t="s">
        <v>415</v>
      </c>
    </row>
    <row r="659" spans="1:3" x14ac:dyDescent="0.2">
      <c r="A659" s="172">
        <v>883</v>
      </c>
      <c r="B659" s="165" t="s">
        <v>364</v>
      </c>
      <c r="C659" s="171" t="s">
        <v>414</v>
      </c>
    </row>
    <row r="660" spans="1:3" x14ac:dyDescent="0.2">
      <c r="A660" s="172">
        <v>884</v>
      </c>
      <c r="B660" s="165" t="s">
        <v>365</v>
      </c>
      <c r="C660" s="171" t="s">
        <v>415</v>
      </c>
    </row>
    <row r="661" spans="1:3" x14ac:dyDescent="0.2">
      <c r="A661" s="172">
        <v>885</v>
      </c>
      <c r="B661" s="165" t="s">
        <v>364</v>
      </c>
      <c r="C661" s="171" t="s">
        <v>414</v>
      </c>
    </row>
    <row r="662" spans="1:3" x14ac:dyDescent="0.2">
      <c r="A662" s="172">
        <v>886</v>
      </c>
      <c r="B662" s="165" t="s">
        <v>365</v>
      </c>
      <c r="C662" s="171" t="s">
        <v>415</v>
      </c>
    </row>
    <row r="663" spans="1:3" x14ac:dyDescent="0.2">
      <c r="A663" s="172">
        <v>887</v>
      </c>
      <c r="B663" s="165" t="s">
        <v>364</v>
      </c>
      <c r="C663" s="171" t="s">
        <v>414</v>
      </c>
    </row>
    <row r="664" spans="1:3" x14ac:dyDescent="0.2">
      <c r="A664" s="172">
        <v>888</v>
      </c>
      <c r="B664" s="165" t="s">
        <v>365</v>
      </c>
      <c r="C664" s="171" t="s">
        <v>415</v>
      </c>
    </row>
    <row r="665" spans="1:3" x14ac:dyDescent="0.2">
      <c r="A665" s="172">
        <v>889</v>
      </c>
      <c r="B665" s="165" t="s">
        <v>364</v>
      </c>
      <c r="C665" s="171" t="s">
        <v>414</v>
      </c>
    </row>
    <row r="666" spans="1:3" x14ac:dyDescent="0.2">
      <c r="A666" s="172">
        <v>890</v>
      </c>
      <c r="B666" s="165" t="s">
        <v>365</v>
      </c>
      <c r="C666" s="171" t="s">
        <v>415</v>
      </c>
    </row>
    <row r="667" spans="1:3" x14ac:dyDescent="0.2">
      <c r="A667" s="172">
        <v>891</v>
      </c>
      <c r="B667" s="165" t="s">
        <v>365</v>
      </c>
      <c r="C667" s="171" t="s">
        <v>415</v>
      </c>
    </row>
    <row r="668" spans="1:3" x14ac:dyDescent="0.2">
      <c r="A668" s="172">
        <v>892</v>
      </c>
      <c r="B668" s="165" t="s">
        <v>365</v>
      </c>
      <c r="C668" s="171" t="s">
        <v>415</v>
      </c>
    </row>
    <row r="669" spans="1:3" x14ac:dyDescent="0.2">
      <c r="A669" s="172">
        <v>893</v>
      </c>
      <c r="B669" s="165" t="s">
        <v>365</v>
      </c>
      <c r="C669" s="171" t="s">
        <v>415</v>
      </c>
    </row>
    <row r="670" spans="1:3" x14ac:dyDescent="0.2">
      <c r="A670" s="172">
        <v>894</v>
      </c>
      <c r="B670" s="165" t="s">
        <v>323</v>
      </c>
      <c r="C670" s="171" t="s">
        <v>415</v>
      </c>
    </row>
    <row r="671" spans="1:3" x14ac:dyDescent="0.2">
      <c r="A671" s="172">
        <v>895</v>
      </c>
      <c r="B671" s="165" t="s">
        <v>323</v>
      </c>
      <c r="C671" s="171" t="s">
        <v>415</v>
      </c>
    </row>
    <row r="672" spans="1:3" x14ac:dyDescent="0.2">
      <c r="A672" s="172">
        <v>896</v>
      </c>
      <c r="B672" s="165" t="s">
        <v>323</v>
      </c>
      <c r="C672" s="171" t="s">
        <v>415</v>
      </c>
    </row>
    <row r="673" spans="1:3" x14ac:dyDescent="0.2">
      <c r="A673" s="172">
        <v>897</v>
      </c>
      <c r="B673" s="165" t="s">
        <v>365</v>
      </c>
      <c r="C673" s="171" t="s">
        <v>415</v>
      </c>
    </row>
    <row r="674" spans="1:3" x14ac:dyDescent="0.2">
      <c r="A674" s="172">
        <v>898</v>
      </c>
      <c r="B674" s="165" t="s">
        <v>365</v>
      </c>
      <c r="C674" s="171" t="s">
        <v>415</v>
      </c>
    </row>
    <row r="675" spans="1:3" x14ac:dyDescent="0.2">
      <c r="A675" s="172">
        <v>899</v>
      </c>
      <c r="B675" s="165" t="s">
        <v>366</v>
      </c>
      <c r="C675" s="171" t="s">
        <v>415</v>
      </c>
    </row>
    <row r="676" spans="1:3" x14ac:dyDescent="0.2">
      <c r="A676" s="172">
        <v>900</v>
      </c>
      <c r="B676" s="165" t="s">
        <v>366</v>
      </c>
      <c r="C676" s="171" t="s">
        <v>415</v>
      </c>
    </row>
    <row r="677" spans="1:3" x14ac:dyDescent="0.2">
      <c r="A677" s="172">
        <v>901</v>
      </c>
      <c r="B677" s="165" t="s">
        <v>366</v>
      </c>
      <c r="C677" s="171" t="s">
        <v>415</v>
      </c>
    </row>
    <row r="678" spans="1:3" x14ac:dyDescent="0.2">
      <c r="A678" s="172">
        <v>902</v>
      </c>
      <c r="B678" s="165" t="s">
        <v>366</v>
      </c>
      <c r="C678" s="171" t="s">
        <v>415</v>
      </c>
    </row>
    <row r="679" spans="1:3" x14ac:dyDescent="0.2">
      <c r="A679" s="172">
        <v>903</v>
      </c>
      <c r="B679" s="165" t="s">
        <v>366</v>
      </c>
      <c r="C679" s="171" t="s">
        <v>415</v>
      </c>
    </row>
    <row r="680" spans="1:3" x14ac:dyDescent="0.2">
      <c r="A680" s="172">
        <v>904</v>
      </c>
      <c r="B680" s="165" t="s">
        <v>367</v>
      </c>
      <c r="C680" s="171" t="s">
        <v>415</v>
      </c>
    </row>
    <row r="681" spans="1:3" x14ac:dyDescent="0.2">
      <c r="A681" s="172">
        <v>905</v>
      </c>
      <c r="B681" s="165" t="s">
        <v>367</v>
      </c>
      <c r="C681" s="171" t="s">
        <v>415</v>
      </c>
    </row>
    <row r="682" spans="1:3" x14ac:dyDescent="0.2">
      <c r="A682" s="172">
        <v>906</v>
      </c>
      <c r="B682" s="165" t="s">
        <v>367</v>
      </c>
      <c r="C682" s="171" t="s">
        <v>415</v>
      </c>
    </row>
    <row r="683" spans="1:3" x14ac:dyDescent="0.2">
      <c r="A683" s="172">
        <v>907</v>
      </c>
      <c r="B683" s="165" t="s">
        <v>368</v>
      </c>
      <c r="C683" s="171" t="s">
        <v>415</v>
      </c>
    </row>
    <row r="684" spans="1:3" x14ac:dyDescent="0.2">
      <c r="A684" s="172">
        <v>908</v>
      </c>
      <c r="B684" s="165" t="s">
        <v>368</v>
      </c>
      <c r="C684" s="171" t="s">
        <v>415</v>
      </c>
    </row>
    <row r="685" spans="1:3" x14ac:dyDescent="0.2">
      <c r="A685" s="172">
        <v>909</v>
      </c>
      <c r="B685" s="165" t="s">
        <v>368</v>
      </c>
      <c r="C685" s="171" t="s">
        <v>415</v>
      </c>
    </row>
    <row r="686" spans="1:3" x14ac:dyDescent="0.2">
      <c r="A686" s="172">
        <v>910</v>
      </c>
      <c r="B686" s="165" t="s">
        <v>368</v>
      </c>
      <c r="C686" s="171" t="s">
        <v>415</v>
      </c>
    </row>
    <row r="687" spans="1:3" x14ac:dyDescent="0.2">
      <c r="A687" s="172">
        <v>911</v>
      </c>
      <c r="B687" s="165" t="s">
        <v>368</v>
      </c>
      <c r="C687" s="171" t="s">
        <v>415</v>
      </c>
    </row>
    <row r="688" spans="1:3" x14ac:dyDescent="0.2">
      <c r="A688" s="172">
        <v>912</v>
      </c>
      <c r="B688" s="165" t="s">
        <v>368</v>
      </c>
      <c r="C688" s="171" t="s">
        <v>415</v>
      </c>
    </row>
    <row r="689" spans="1:3" x14ac:dyDescent="0.2">
      <c r="A689" s="172">
        <v>913</v>
      </c>
      <c r="B689" s="165" t="s">
        <v>368</v>
      </c>
      <c r="C689" s="171" t="s">
        <v>415</v>
      </c>
    </row>
    <row r="690" spans="1:3" x14ac:dyDescent="0.2">
      <c r="A690" s="172">
        <v>914</v>
      </c>
      <c r="B690" s="165" t="s">
        <v>369</v>
      </c>
      <c r="C690" s="171" t="s">
        <v>414</v>
      </c>
    </row>
    <row r="691" spans="1:3" x14ac:dyDescent="0.2">
      <c r="A691" s="172">
        <v>915</v>
      </c>
      <c r="B691" s="165" t="s">
        <v>323</v>
      </c>
      <c r="C691" s="171" t="s">
        <v>414</v>
      </c>
    </row>
    <row r="692" spans="1:3" x14ac:dyDescent="0.2">
      <c r="A692" s="172">
        <v>916</v>
      </c>
      <c r="B692" s="165" t="s">
        <v>323</v>
      </c>
      <c r="C692" s="171" t="s">
        <v>414</v>
      </c>
    </row>
    <row r="693" spans="1:3" x14ac:dyDescent="0.2">
      <c r="A693" s="172">
        <v>917</v>
      </c>
      <c r="B693" s="165" t="s">
        <v>323</v>
      </c>
      <c r="C693" s="171" t="s">
        <v>414</v>
      </c>
    </row>
    <row r="694" spans="1:3" x14ac:dyDescent="0.2">
      <c r="A694" s="172">
        <v>918</v>
      </c>
      <c r="B694" s="165" t="s">
        <v>259</v>
      </c>
      <c r="C694" s="171" t="s">
        <v>414</v>
      </c>
    </row>
    <row r="695" spans="1:3" x14ac:dyDescent="0.2">
      <c r="A695" s="172">
        <v>919</v>
      </c>
      <c r="B695" s="165" t="s">
        <v>370</v>
      </c>
      <c r="C695" s="171" t="s">
        <v>414</v>
      </c>
    </row>
    <row r="696" spans="1:3" x14ac:dyDescent="0.2">
      <c r="A696" s="172">
        <v>920</v>
      </c>
      <c r="B696" s="165" t="s">
        <v>370</v>
      </c>
      <c r="C696" s="171" t="s">
        <v>414</v>
      </c>
    </row>
    <row r="697" spans="1:3" x14ac:dyDescent="0.2">
      <c r="A697" s="172">
        <v>922</v>
      </c>
      <c r="B697" s="165" t="s">
        <v>282</v>
      </c>
      <c r="C697" s="171" t="s">
        <v>414</v>
      </c>
    </row>
    <row r="698" spans="1:3" x14ac:dyDescent="0.2">
      <c r="A698" s="172">
        <v>923</v>
      </c>
      <c r="B698" s="165" t="s">
        <v>282</v>
      </c>
      <c r="C698" s="171" t="s">
        <v>414</v>
      </c>
    </row>
    <row r="699" spans="1:3" x14ac:dyDescent="0.2">
      <c r="A699" s="172">
        <v>924</v>
      </c>
      <c r="B699" s="165" t="s">
        <v>282</v>
      </c>
      <c r="C699" s="171" t="s">
        <v>414</v>
      </c>
    </row>
    <row r="700" spans="1:3" x14ac:dyDescent="0.2">
      <c r="A700" s="172">
        <v>925</v>
      </c>
      <c r="B700" s="165" t="s">
        <v>371</v>
      </c>
      <c r="C700" s="171" t="s">
        <v>410</v>
      </c>
    </row>
    <row r="701" spans="1:3" x14ac:dyDescent="0.2">
      <c r="A701" s="172">
        <v>926</v>
      </c>
      <c r="B701" s="165" t="s">
        <v>312</v>
      </c>
      <c r="C701" s="171" t="s">
        <v>410</v>
      </c>
    </row>
    <row r="702" spans="1:3" x14ac:dyDescent="0.2">
      <c r="A702" s="172">
        <v>927</v>
      </c>
      <c r="B702" s="165" t="s">
        <v>314</v>
      </c>
      <c r="C702" s="171" t="s">
        <v>410</v>
      </c>
    </row>
    <row r="703" spans="1:3" x14ac:dyDescent="0.2">
      <c r="A703" s="172">
        <v>928</v>
      </c>
      <c r="B703" s="165" t="s">
        <v>313</v>
      </c>
      <c r="C703" s="171" t="s">
        <v>410</v>
      </c>
    </row>
    <row r="704" spans="1:3" x14ac:dyDescent="0.2">
      <c r="A704" s="172">
        <v>929</v>
      </c>
      <c r="B704" s="165" t="s">
        <v>366</v>
      </c>
      <c r="C704" s="171" t="s">
        <v>415</v>
      </c>
    </row>
    <row r="705" spans="1:3" x14ac:dyDescent="0.2">
      <c r="A705" s="172">
        <v>930</v>
      </c>
      <c r="B705" s="165" t="s">
        <v>366</v>
      </c>
      <c r="C705" s="171" t="s">
        <v>415</v>
      </c>
    </row>
    <row r="706" spans="1:3" x14ac:dyDescent="0.2">
      <c r="A706" s="172">
        <v>931</v>
      </c>
      <c r="B706" s="165" t="s">
        <v>366</v>
      </c>
      <c r="C706" s="171" t="s">
        <v>415</v>
      </c>
    </row>
    <row r="707" spans="1:3" x14ac:dyDescent="0.2">
      <c r="A707" s="172">
        <v>932</v>
      </c>
      <c r="B707" s="165" t="s">
        <v>372</v>
      </c>
      <c r="C707" s="171" t="s">
        <v>414</v>
      </c>
    </row>
    <row r="708" spans="1:3" x14ac:dyDescent="0.2">
      <c r="A708" s="172">
        <v>933</v>
      </c>
      <c r="B708" s="165" t="s">
        <v>364</v>
      </c>
      <c r="C708" s="171" t="s">
        <v>414</v>
      </c>
    </row>
    <row r="709" spans="1:3" x14ac:dyDescent="0.2">
      <c r="A709" s="172">
        <v>934</v>
      </c>
      <c r="B709" s="165" t="s">
        <v>365</v>
      </c>
      <c r="C709" s="171" t="s">
        <v>415</v>
      </c>
    </row>
    <row r="710" spans="1:3" x14ac:dyDescent="0.2">
      <c r="A710" s="172">
        <v>935</v>
      </c>
      <c r="B710" s="165" t="s">
        <v>373</v>
      </c>
      <c r="C710" s="171" t="s">
        <v>414</v>
      </c>
    </row>
    <row r="711" spans="1:3" x14ac:dyDescent="0.2">
      <c r="A711" s="172">
        <v>936</v>
      </c>
      <c r="B711" s="165" t="s">
        <v>373</v>
      </c>
      <c r="C711" s="171" t="s">
        <v>414</v>
      </c>
    </row>
    <row r="712" spans="1:3" x14ac:dyDescent="0.2">
      <c r="A712" s="172">
        <v>937</v>
      </c>
      <c r="B712" s="165" t="s">
        <v>373</v>
      </c>
      <c r="C712" s="171" t="s">
        <v>414</v>
      </c>
    </row>
    <row r="713" spans="1:3" x14ac:dyDescent="0.2">
      <c r="A713" s="172">
        <v>938</v>
      </c>
      <c r="B713" s="165" t="s">
        <v>373</v>
      </c>
      <c r="C713" s="171" t="s">
        <v>414</v>
      </c>
    </row>
    <row r="714" spans="1:3" x14ac:dyDescent="0.2">
      <c r="A714" s="172">
        <v>939</v>
      </c>
      <c r="B714" s="165" t="s">
        <v>373</v>
      </c>
      <c r="C714" s="171" t="s">
        <v>414</v>
      </c>
    </row>
    <row r="715" spans="1:3" x14ac:dyDescent="0.2">
      <c r="A715" s="172">
        <v>940</v>
      </c>
      <c r="B715" s="165" t="s">
        <v>374</v>
      </c>
      <c r="C715" s="171" t="s">
        <v>411</v>
      </c>
    </row>
    <row r="716" spans="1:3" x14ac:dyDescent="0.2">
      <c r="A716" s="172">
        <v>941</v>
      </c>
      <c r="B716" s="165" t="s">
        <v>375</v>
      </c>
      <c r="C716" s="171" t="s">
        <v>411</v>
      </c>
    </row>
    <row r="717" spans="1:3" x14ac:dyDescent="0.2">
      <c r="A717" s="172">
        <v>942</v>
      </c>
      <c r="B717" s="165" t="s">
        <v>228</v>
      </c>
      <c r="C717" s="171" t="s">
        <v>414</v>
      </c>
    </row>
    <row r="718" spans="1:3" x14ac:dyDescent="0.2">
      <c r="A718" s="172">
        <v>943</v>
      </c>
      <c r="B718" s="165" t="s">
        <v>219</v>
      </c>
      <c r="C718" s="171" t="s">
        <v>414</v>
      </c>
    </row>
    <row r="719" spans="1:3" x14ac:dyDescent="0.2">
      <c r="A719" s="172">
        <v>944</v>
      </c>
      <c r="B719" s="165" t="s">
        <v>219</v>
      </c>
      <c r="C719" s="171" t="s">
        <v>414</v>
      </c>
    </row>
    <row r="720" spans="1:3" x14ac:dyDescent="0.2">
      <c r="A720" s="172">
        <v>945</v>
      </c>
      <c r="B720" s="165" t="s">
        <v>219</v>
      </c>
      <c r="C720" s="171" t="s">
        <v>414</v>
      </c>
    </row>
    <row r="721" spans="1:3" x14ac:dyDescent="0.2">
      <c r="A721" s="172">
        <v>946</v>
      </c>
      <c r="B721" s="165" t="s">
        <v>219</v>
      </c>
      <c r="C721" s="171" t="s">
        <v>414</v>
      </c>
    </row>
    <row r="722" spans="1:3" x14ac:dyDescent="0.2">
      <c r="A722" s="172">
        <v>947</v>
      </c>
      <c r="B722" s="165" t="s">
        <v>376</v>
      </c>
      <c r="C722" s="171" t="s">
        <v>414</v>
      </c>
    </row>
    <row r="723" spans="1:3" x14ac:dyDescent="0.2">
      <c r="A723" s="172">
        <v>948</v>
      </c>
      <c r="B723" s="165" t="s">
        <v>377</v>
      </c>
      <c r="C723" s="171" t="s">
        <v>414</v>
      </c>
    </row>
    <row r="724" spans="1:3" x14ac:dyDescent="0.2">
      <c r="A724" s="172">
        <v>949</v>
      </c>
      <c r="B724" s="165" t="s">
        <v>378</v>
      </c>
      <c r="C724" s="171" t="s">
        <v>414</v>
      </c>
    </row>
    <row r="725" spans="1:3" x14ac:dyDescent="0.2">
      <c r="A725" s="172">
        <v>950</v>
      </c>
      <c r="B725" s="165" t="s">
        <v>379</v>
      </c>
      <c r="C725" s="171" t="s">
        <v>415</v>
      </c>
    </row>
    <row r="726" spans="1:3" x14ac:dyDescent="0.2">
      <c r="A726" s="172">
        <v>951</v>
      </c>
      <c r="B726" s="165" t="s">
        <v>380</v>
      </c>
      <c r="C726" s="171" t="s">
        <v>415</v>
      </c>
    </row>
    <row r="727" spans="1:3" x14ac:dyDescent="0.2">
      <c r="A727" s="172">
        <v>952</v>
      </c>
      <c r="B727" s="165" t="s">
        <v>381</v>
      </c>
      <c r="C727" s="171" t="s">
        <v>414</v>
      </c>
    </row>
    <row r="728" spans="1:3" x14ac:dyDescent="0.2">
      <c r="A728" s="172">
        <v>953</v>
      </c>
      <c r="B728" s="165" t="s">
        <v>382</v>
      </c>
      <c r="C728" s="171" t="s">
        <v>414</v>
      </c>
    </row>
    <row r="729" spans="1:3" x14ac:dyDescent="0.2">
      <c r="A729" s="172">
        <v>954</v>
      </c>
      <c r="B729" s="165" t="s">
        <v>383</v>
      </c>
      <c r="C729" s="171" t="s">
        <v>414</v>
      </c>
    </row>
    <row r="730" spans="1:3" x14ac:dyDescent="0.2">
      <c r="A730" s="172">
        <v>955</v>
      </c>
      <c r="B730" s="165" t="s">
        <v>384</v>
      </c>
      <c r="C730" s="171" t="s">
        <v>414</v>
      </c>
    </row>
    <row r="731" spans="1:3" x14ac:dyDescent="0.2">
      <c r="A731" s="172">
        <v>956</v>
      </c>
      <c r="B731" s="165" t="s">
        <v>385</v>
      </c>
      <c r="C731" s="171" t="s">
        <v>414</v>
      </c>
    </row>
    <row r="732" spans="1:3" x14ac:dyDescent="0.2">
      <c r="A732" s="172">
        <v>957</v>
      </c>
      <c r="B732" s="165" t="s">
        <v>386</v>
      </c>
      <c r="C732" s="171" t="s">
        <v>414</v>
      </c>
    </row>
    <row r="733" spans="1:3" x14ac:dyDescent="0.2">
      <c r="A733" s="172">
        <v>958</v>
      </c>
      <c r="B733" s="165" t="s">
        <v>387</v>
      </c>
      <c r="C733" s="171" t="s">
        <v>414</v>
      </c>
    </row>
    <row r="734" spans="1:3" x14ac:dyDescent="0.2">
      <c r="A734" s="172">
        <v>959</v>
      </c>
      <c r="B734" s="165" t="s">
        <v>388</v>
      </c>
      <c r="C734" s="171" t="s">
        <v>414</v>
      </c>
    </row>
    <row r="735" spans="1:3" x14ac:dyDescent="0.2">
      <c r="A735" s="172">
        <v>960</v>
      </c>
      <c r="B735" s="165" t="s">
        <v>389</v>
      </c>
      <c r="C735" s="171" t="s">
        <v>414</v>
      </c>
    </row>
    <row r="736" spans="1:3" x14ac:dyDescent="0.2">
      <c r="A736" s="172">
        <v>961</v>
      </c>
      <c r="B736" s="165" t="s">
        <v>390</v>
      </c>
      <c r="C736" s="171" t="s">
        <v>414</v>
      </c>
    </row>
    <row r="737" spans="1:3" x14ac:dyDescent="0.2">
      <c r="A737" s="172">
        <v>962</v>
      </c>
      <c r="B737" s="165" t="s">
        <v>391</v>
      </c>
      <c r="C737" s="171" t="s">
        <v>414</v>
      </c>
    </row>
    <row r="738" spans="1:3" x14ac:dyDescent="0.2">
      <c r="A738" s="172">
        <v>963</v>
      </c>
      <c r="B738" s="165" t="s">
        <v>392</v>
      </c>
      <c r="C738" s="171" t="s">
        <v>414</v>
      </c>
    </row>
    <row r="739" spans="1:3" x14ac:dyDescent="0.2">
      <c r="A739" s="172">
        <v>964</v>
      </c>
      <c r="B739" s="165" t="s">
        <v>393</v>
      </c>
      <c r="C739" s="171" t="s">
        <v>414</v>
      </c>
    </row>
    <row r="740" spans="1:3" x14ac:dyDescent="0.2">
      <c r="A740" s="172">
        <v>965</v>
      </c>
      <c r="B740" s="165" t="s">
        <v>394</v>
      </c>
      <c r="C740" s="171" t="s">
        <v>414</v>
      </c>
    </row>
    <row r="741" spans="1:3" x14ac:dyDescent="0.2">
      <c r="A741" s="172">
        <v>966</v>
      </c>
      <c r="B741" s="165" t="s">
        <v>239</v>
      </c>
      <c r="C741" s="171" t="s">
        <v>415</v>
      </c>
    </row>
    <row r="742" spans="1:3" x14ac:dyDescent="0.2">
      <c r="A742" s="172">
        <v>967</v>
      </c>
      <c r="B742" s="165" t="s">
        <v>251</v>
      </c>
      <c r="C742" s="171" t="s">
        <v>414</v>
      </c>
    </row>
    <row r="743" spans="1:3" x14ac:dyDescent="0.2">
      <c r="A743" s="172">
        <v>968</v>
      </c>
      <c r="B743" s="165" t="s">
        <v>251</v>
      </c>
      <c r="C743" s="171" t="s">
        <v>414</v>
      </c>
    </row>
    <row r="744" spans="1:3" x14ac:dyDescent="0.2">
      <c r="A744" s="172">
        <v>969</v>
      </c>
      <c r="B744" s="165" t="s">
        <v>394</v>
      </c>
      <c r="C744" s="171" t="s">
        <v>414</v>
      </c>
    </row>
    <row r="745" spans="1:3" x14ac:dyDescent="0.2">
      <c r="A745" s="172">
        <v>970</v>
      </c>
      <c r="B745" s="165" t="s">
        <v>207</v>
      </c>
      <c r="C745" s="171" t="s">
        <v>414</v>
      </c>
    </row>
    <row r="746" spans="1:3" x14ac:dyDescent="0.2">
      <c r="A746" s="172">
        <v>971</v>
      </c>
      <c r="B746" s="165" t="s">
        <v>395</v>
      </c>
      <c r="C746" s="171" t="s">
        <v>414</v>
      </c>
    </row>
    <row r="747" spans="1:3" x14ac:dyDescent="0.2">
      <c r="A747" s="172">
        <v>972</v>
      </c>
      <c r="B747" s="165" t="s">
        <v>396</v>
      </c>
      <c r="C747" s="171" t="s">
        <v>414</v>
      </c>
    </row>
    <row r="748" spans="1:3" x14ac:dyDescent="0.2">
      <c r="A748" s="172">
        <v>973</v>
      </c>
      <c r="B748" s="165" t="s">
        <v>249</v>
      </c>
      <c r="C748" s="171" t="s">
        <v>414</v>
      </c>
    </row>
    <row r="749" spans="1:3" x14ac:dyDescent="0.2">
      <c r="A749" s="172">
        <v>974</v>
      </c>
      <c r="B749" s="165" t="s">
        <v>275</v>
      </c>
      <c r="C749" s="171" t="s">
        <v>414</v>
      </c>
    </row>
    <row r="750" spans="1:3" x14ac:dyDescent="0.2">
      <c r="A750" s="172">
        <v>975</v>
      </c>
      <c r="B750" s="165" t="s">
        <v>397</v>
      </c>
      <c r="C750" s="171" t="s">
        <v>414</v>
      </c>
    </row>
    <row r="751" spans="1:3" x14ac:dyDescent="0.2">
      <c r="A751" s="172">
        <v>976</v>
      </c>
      <c r="B751" s="165" t="s">
        <v>398</v>
      </c>
      <c r="C751" s="171" t="s">
        <v>414</v>
      </c>
    </row>
    <row r="752" spans="1:3" x14ac:dyDescent="0.2">
      <c r="A752" s="172">
        <v>978</v>
      </c>
      <c r="B752" s="165" t="s">
        <v>233</v>
      </c>
      <c r="C752" s="171" t="s">
        <v>415</v>
      </c>
    </row>
    <row r="753" spans="1:3" x14ac:dyDescent="0.2">
      <c r="A753" s="172">
        <v>979</v>
      </c>
      <c r="B753" s="165" t="s">
        <v>272</v>
      </c>
      <c r="C753" s="171" t="s">
        <v>415</v>
      </c>
    </row>
    <row r="754" spans="1:3" x14ac:dyDescent="0.2">
      <c r="A754" s="172">
        <v>980</v>
      </c>
      <c r="B754" s="165" t="s">
        <v>399</v>
      </c>
      <c r="C754" s="171" t="s">
        <v>414</v>
      </c>
    </row>
    <row r="755" spans="1:3" x14ac:dyDescent="0.2">
      <c r="A755" s="172">
        <v>981</v>
      </c>
      <c r="B755" s="165" t="s">
        <v>400</v>
      </c>
      <c r="C755" s="171" t="s">
        <v>415</v>
      </c>
    </row>
    <row r="756" spans="1:3" x14ac:dyDescent="0.2">
      <c r="A756" s="172">
        <v>982</v>
      </c>
      <c r="B756" s="165" t="s">
        <v>401</v>
      </c>
      <c r="C756" s="171" t="s">
        <v>414</v>
      </c>
    </row>
    <row r="757" spans="1:3" x14ac:dyDescent="0.2">
      <c r="A757" s="172">
        <v>983</v>
      </c>
      <c r="B757" s="165" t="s">
        <v>402</v>
      </c>
      <c r="C757" s="171" t="s">
        <v>414</v>
      </c>
    </row>
    <row r="758" spans="1:3" x14ac:dyDescent="0.2">
      <c r="A758" s="172">
        <v>984</v>
      </c>
      <c r="B758" s="165" t="s">
        <v>403</v>
      </c>
      <c r="C758" s="171" t="s">
        <v>414</v>
      </c>
    </row>
    <row r="759" spans="1:3" x14ac:dyDescent="0.2">
      <c r="A759" s="172">
        <v>985</v>
      </c>
      <c r="B759" s="165" t="s">
        <v>404</v>
      </c>
      <c r="C759" s="171" t="s">
        <v>414</v>
      </c>
    </row>
    <row r="760" spans="1:3" x14ac:dyDescent="0.2">
      <c r="A760" s="172">
        <v>989</v>
      </c>
      <c r="B760" s="165" t="s">
        <v>288</v>
      </c>
      <c r="C760" s="171" t="s">
        <v>414</v>
      </c>
    </row>
    <row r="761" spans="1:3" x14ac:dyDescent="0.2">
      <c r="A761" s="172">
        <v>990</v>
      </c>
      <c r="B761" s="165" t="s">
        <v>289</v>
      </c>
      <c r="C761" s="171" t="s">
        <v>415</v>
      </c>
    </row>
    <row r="762" spans="1:3" x14ac:dyDescent="0.2">
      <c r="A762" s="172">
        <v>991</v>
      </c>
      <c r="B762" s="165" t="s">
        <v>239</v>
      </c>
      <c r="C762" s="171" t="s">
        <v>415</v>
      </c>
    </row>
    <row r="763" spans="1:3" x14ac:dyDescent="0.2">
      <c r="A763" s="172">
        <v>996</v>
      </c>
      <c r="B763" s="165" t="s">
        <v>318</v>
      </c>
      <c r="C763" s="171" t="s">
        <v>414</v>
      </c>
    </row>
    <row r="764" spans="1:3" x14ac:dyDescent="0.2">
      <c r="A764" s="172">
        <v>997</v>
      </c>
      <c r="B764" s="165" t="s">
        <v>405</v>
      </c>
      <c r="C764" s="171" t="s">
        <v>414</v>
      </c>
    </row>
  </sheetData>
  <hyperlinks>
    <hyperlink ref="A1" location="Overview!A1" display="Back to Overview"/>
    <hyperlink ref="A1" location="Overview!A1" display="Back to Overview"/>
  </hyperlinks>
  <pageMargins left="0.74803149606299213" right="0.74803149606299213" top="0.98425196850393704" bottom="0.98425196850393704" header="0.51181102362204722" footer="0.51181102362204722"/>
  <pageSetup paperSize="9" scale="46"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X24"/>
  <sheetViews>
    <sheetView zoomScaleNormal="100" workbookViewId="0">
      <selection activeCell="B10" sqref="B10"/>
    </sheetView>
  </sheetViews>
  <sheetFormatPr defaultRowHeight="12.75" x14ac:dyDescent="0.2"/>
  <cols>
    <col min="1" max="1" width="2.42578125" style="105" customWidth="1"/>
    <col min="2" max="2" width="33.7109375" style="105" customWidth="1"/>
    <col min="3" max="4" width="14.140625" style="105" customWidth="1"/>
    <col min="5" max="9" width="12.140625" style="105" customWidth="1"/>
    <col min="10" max="10" width="5.5703125" style="105" customWidth="1"/>
    <col min="11" max="11" width="5.28515625" style="105" customWidth="1"/>
    <col min="12" max="12" width="35.28515625" style="105" customWidth="1"/>
    <col min="13" max="20" width="11.7109375" style="105" customWidth="1"/>
    <col min="21" max="27" width="9.140625" style="105"/>
    <col min="28" max="28" width="25" style="105" bestFit="1" customWidth="1"/>
    <col min="29" max="29" width="14.5703125" style="105" bestFit="1" customWidth="1"/>
    <col min="30" max="16384" width="9.140625" style="105"/>
  </cols>
  <sheetData>
    <row r="1" spans="1:154" x14ac:dyDescent="0.2">
      <c r="B1" s="88" t="s">
        <v>18</v>
      </c>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106"/>
      <c r="EB1" s="106"/>
      <c r="EC1" s="106"/>
      <c r="ED1" s="106"/>
      <c r="EE1" s="106"/>
      <c r="EF1" s="106"/>
      <c r="EG1" s="106"/>
      <c r="EH1" s="106"/>
      <c r="EI1" s="106"/>
      <c r="EJ1" s="106"/>
      <c r="EK1" s="106"/>
      <c r="EL1" s="106"/>
      <c r="EM1" s="106"/>
      <c r="EN1" s="106"/>
      <c r="EO1" s="106"/>
      <c r="EP1" s="106"/>
      <c r="EQ1" s="106"/>
      <c r="ER1" s="106"/>
      <c r="ES1" s="106"/>
      <c r="ET1" s="106"/>
      <c r="EU1" s="106"/>
      <c r="EV1" s="106"/>
      <c r="EW1" s="106"/>
      <c r="EX1" s="106"/>
    </row>
    <row r="2" spans="1:154" s="107" customFormat="1" ht="21.75" customHeight="1" x14ac:dyDescent="0.2">
      <c r="B2" s="295" t="str">
        <f>Overview!B4&amp; " - Effective from "&amp;Overview!D4&amp;" - "&amp;Overview!E4</f>
        <v>South Eastern Power Networks - Effective from 1 April 2021 - Final</v>
      </c>
      <c r="C2" s="296"/>
      <c r="D2" s="296"/>
      <c r="E2" s="296"/>
      <c r="F2" s="296"/>
      <c r="G2" s="296"/>
      <c r="H2" s="296"/>
      <c r="I2" s="296"/>
      <c r="J2" s="296"/>
      <c r="K2" s="296"/>
      <c r="L2" s="296"/>
      <c r="M2" s="296"/>
      <c r="N2" s="296"/>
      <c r="O2" s="296"/>
      <c r="P2" s="296"/>
      <c r="Q2" s="296"/>
      <c r="R2" s="296"/>
      <c r="S2" s="296"/>
      <c r="T2" s="297"/>
      <c r="U2" s="106"/>
      <c r="V2" s="106"/>
      <c r="W2" s="106"/>
      <c r="X2" s="106"/>
      <c r="Y2" s="106"/>
      <c r="Z2" s="106"/>
      <c r="AA2" s="106"/>
      <c r="AB2" s="26"/>
      <c r="AC2" s="44" t="s">
        <v>163</v>
      </c>
      <c r="AD2" s="44" t="s">
        <v>165</v>
      </c>
      <c r="AE2" s="44" t="s">
        <v>164</v>
      </c>
      <c r="AF2" s="146" t="s">
        <v>24</v>
      </c>
      <c r="AG2" s="146" t="s">
        <v>25</v>
      </c>
      <c r="AH2" s="26" t="s">
        <v>130</v>
      </c>
      <c r="AI2" s="146" t="s">
        <v>32</v>
      </c>
      <c r="AJ2" s="106"/>
      <c r="AK2" s="106"/>
      <c r="AL2" s="106"/>
      <c r="AM2" s="106"/>
      <c r="AN2" s="106"/>
      <c r="AO2" s="106"/>
      <c r="AP2" s="106"/>
      <c r="AQ2" s="106"/>
      <c r="AR2" s="106"/>
      <c r="AS2" s="106"/>
      <c r="AT2" s="106"/>
      <c r="AU2" s="106"/>
      <c r="AV2" s="106"/>
      <c r="AW2" s="106"/>
      <c r="AX2" s="106"/>
      <c r="AY2" s="106"/>
      <c r="AZ2" s="106"/>
      <c r="BA2" s="106"/>
      <c r="BB2" s="106"/>
      <c r="BC2" s="106"/>
      <c r="BD2" s="106"/>
      <c r="BE2" s="106"/>
      <c r="BF2" s="106"/>
      <c r="BG2" s="106"/>
      <c r="BH2" s="106"/>
      <c r="BI2" s="106"/>
      <c r="BJ2" s="106"/>
      <c r="BK2" s="106"/>
      <c r="BL2" s="106"/>
      <c r="BM2" s="106"/>
      <c r="BN2" s="106"/>
      <c r="BO2" s="106"/>
      <c r="BP2" s="106"/>
      <c r="BQ2" s="106"/>
      <c r="BR2" s="106"/>
      <c r="BS2" s="106"/>
      <c r="BT2" s="106"/>
      <c r="BU2" s="106"/>
      <c r="BV2" s="106"/>
      <c r="BW2" s="106"/>
      <c r="BX2" s="106"/>
      <c r="BY2" s="106"/>
      <c r="BZ2" s="106"/>
      <c r="CA2" s="106"/>
      <c r="CB2" s="106"/>
      <c r="CC2" s="106"/>
      <c r="CD2" s="106"/>
      <c r="CE2" s="106"/>
      <c r="CF2" s="106"/>
      <c r="CG2" s="106"/>
      <c r="CH2" s="106"/>
      <c r="CI2" s="106"/>
      <c r="CJ2" s="106"/>
      <c r="CK2" s="106"/>
      <c r="CL2" s="106"/>
      <c r="CM2" s="106"/>
      <c r="CN2" s="106"/>
      <c r="CO2" s="106"/>
      <c r="CP2" s="106"/>
      <c r="CQ2" s="106"/>
      <c r="CR2" s="106"/>
      <c r="CS2" s="106"/>
      <c r="CT2" s="106"/>
      <c r="CU2" s="106"/>
      <c r="CV2" s="106"/>
      <c r="CW2" s="106"/>
      <c r="CX2" s="106"/>
      <c r="CY2" s="106"/>
      <c r="CZ2" s="106"/>
      <c r="DA2" s="106"/>
      <c r="DB2" s="106"/>
      <c r="DC2" s="106"/>
      <c r="DD2" s="106"/>
      <c r="DE2" s="106"/>
      <c r="DF2" s="106"/>
      <c r="DG2" s="106"/>
      <c r="DH2" s="106"/>
      <c r="DI2" s="106"/>
      <c r="DJ2" s="106"/>
      <c r="DK2" s="106"/>
      <c r="DL2" s="106"/>
      <c r="DM2" s="106"/>
      <c r="DN2" s="106"/>
      <c r="DO2" s="106"/>
      <c r="DP2" s="106"/>
      <c r="DQ2" s="106"/>
      <c r="DR2" s="106"/>
      <c r="DS2" s="106"/>
      <c r="DT2" s="106"/>
      <c r="DU2" s="106"/>
      <c r="DV2" s="106"/>
      <c r="DW2" s="106"/>
      <c r="DX2" s="106"/>
      <c r="DY2" s="106"/>
      <c r="DZ2" s="106"/>
      <c r="EA2" s="106"/>
      <c r="EB2" s="106"/>
      <c r="EC2" s="106"/>
      <c r="ED2" s="106"/>
      <c r="EE2" s="106"/>
      <c r="EF2" s="106"/>
      <c r="EG2" s="106"/>
      <c r="EH2" s="106"/>
      <c r="EI2" s="106"/>
      <c r="EJ2" s="106"/>
      <c r="EK2" s="106"/>
      <c r="EL2" s="106"/>
      <c r="EM2" s="106"/>
      <c r="EN2" s="106"/>
      <c r="EO2" s="106"/>
      <c r="EP2" s="106"/>
      <c r="EQ2" s="106"/>
      <c r="ER2" s="106"/>
      <c r="ES2" s="106"/>
      <c r="ET2" s="106"/>
      <c r="EU2" s="106"/>
      <c r="EV2" s="106"/>
      <c r="EW2" s="106"/>
      <c r="EX2" s="106"/>
    </row>
    <row r="3" spans="1:154" s="109" customFormat="1" ht="9" customHeight="1" x14ac:dyDescent="0.2">
      <c r="A3" s="108"/>
      <c r="B3" s="108"/>
      <c r="C3" s="108"/>
      <c r="D3" s="108"/>
      <c r="E3" s="108"/>
      <c r="F3" s="108"/>
      <c r="G3" s="108"/>
      <c r="H3" s="108"/>
      <c r="I3" s="108"/>
      <c r="J3" s="108"/>
      <c r="K3" s="108"/>
      <c r="L3" s="106"/>
      <c r="M3" s="106"/>
      <c r="N3" s="106"/>
      <c r="O3" s="106"/>
      <c r="P3" s="106"/>
      <c r="Q3" s="106"/>
      <c r="R3" s="106"/>
      <c r="S3" s="106"/>
      <c r="T3" s="106"/>
      <c r="U3" s="106"/>
      <c r="V3" s="106"/>
      <c r="W3" s="106"/>
      <c r="X3" s="106"/>
      <c r="Y3" s="106"/>
      <c r="Z3" s="106"/>
      <c r="AA3" s="106"/>
      <c r="AB3" s="16" t="s">
        <v>143</v>
      </c>
      <c r="AC3" s="148" t="s">
        <v>169</v>
      </c>
      <c r="AD3" s="149" t="s">
        <v>171</v>
      </c>
      <c r="AE3" s="150" t="s">
        <v>164</v>
      </c>
      <c r="AF3" s="156" t="s">
        <v>173</v>
      </c>
      <c r="AG3" s="151" t="s">
        <v>176</v>
      </c>
      <c r="AH3" s="151" t="s">
        <v>176</v>
      </c>
      <c r="AI3" s="152" t="s">
        <v>176</v>
      </c>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6"/>
      <c r="CT3" s="106"/>
      <c r="CU3" s="106"/>
      <c r="CV3" s="106"/>
      <c r="CW3" s="106"/>
      <c r="CX3" s="106"/>
      <c r="CY3" s="106"/>
      <c r="CZ3" s="106"/>
      <c r="DA3" s="106"/>
      <c r="DB3" s="106"/>
      <c r="DC3" s="106"/>
      <c r="DD3" s="106"/>
      <c r="DE3" s="106"/>
      <c r="DF3" s="106"/>
      <c r="DG3" s="106"/>
      <c r="DH3" s="106"/>
      <c r="DI3" s="106"/>
      <c r="DJ3" s="106"/>
      <c r="DK3" s="106"/>
      <c r="DL3" s="106"/>
      <c r="DM3" s="106"/>
      <c r="DN3" s="106"/>
      <c r="DO3" s="106"/>
      <c r="DP3" s="106"/>
      <c r="DQ3" s="106"/>
      <c r="DR3" s="106"/>
      <c r="DS3" s="106"/>
      <c r="DT3" s="106"/>
      <c r="DU3" s="106"/>
      <c r="DV3" s="106"/>
      <c r="DW3" s="106"/>
      <c r="DX3" s="106"/>
      <c r="DY3" s="106"/>
      <c r="DZ3" s="106"/>
      <c r="EA3" s="106"/>
      <c r="EB3" s="106"/>
      <c r="EC3" s="106"/>
      <c r="ED3" s="106"/>
      <c r="EE3" s="106"/>
      <c r="EF3" s="106"/>
      <c r="EG3" s="106"/>
      <c r="EH3" s="106"/>
      <c r="EI3" s="106"/>
      <c r="EJ3" s="106"/>
      <c r="EK3" s="106"/>
      <c r="EL3" s="106"/>
      <c r="EM3" s="106"/>
      <c r="EN3" s="106"/>
      <c r="EO3" s="106"/>
      <c r="EP3" s="106"/>
      <c r="EQ3" s="106"/>
      <c r="ER3" s="106"/>
      <c r="ES3" s="106"/>
      <c r="ET3" s="106"/>
      <c r="EU3" s="106"/>
      <c r="EV3" s="106"/>
      <c r="EW3" s="106"/>
      <c r="EX3" s="106"/>
    </row>
    <row r="4" spans="1:154" ht="26.25" customHeight="1" x14ac:dyDescent="0.2">
      <c r="B4" s="301" t="s">
        <v>167</v>
      </c>
      <c r="C4" s="302"/>
      <c r="D4" s="302"/>
      <c r="E4" s="302"/>
      <c r="F4" s="302"/>
      <c r="G4" s="302"/>
      <c r="H4" s="302"/>
      <c r="I4" s="303"/>
      <c r="L4" s="301" t="s">
        <v>168</v>
      </c>
      <c r="M4" s="302"/>
      <c r="N4" s="302"/>
      <c r="O4" s="302"/>
      <c r="P4" s="302"/>
      <c r="Q4" s="302"/>
      <c r="R4" s="302"/>
      <c r="S4" s="302"/>
      <c r="T4" s="303"/>
      <c r="AB4" s="16" t="s">
        <v>144</v>
      </c>
      <c r="AC4" s="148" t="s">
        <v>169</v>
      </c>
      <c r="AD4" s="149" t="s">
        <v>171</v>
      </c>
      <c r="AE4" s="150" t="s">
        <v>164</v>
      </c>
      <c r="AF4" s="151" t="s">
        <v>176</v>
      </c>
      <c r="AG4" s="151" t="s">
        <v>176</v>
      </c>
      <c r="AH4" s="151" t="s">
        <v>176</v>
      </c>
      <c r="AI4" s="152" t="s">
        <v>176</v>
      </c>
    </row>
    <row r="5" spans="1:154" ht="18" customHeight="1" x14ac:dyDescent="0.2">
      <c r="B5" s="305" t="s">
        <v>100</v>
      </c>
      <c r="C5" s="305"/>
      <c r="D5" s="305"/>
      <c r="E5" s="305"/>
      <c r="F5" s="305"/>
      <c r="G5" s="305"/>
      <c r="H5" s="305"/>
      <c r="I5" s="305"/>
      <c r="L5" s="305" t="s">
        <v>102</v>
      </c>
      <c r="M5" s="305"/>
      <c r="N5" s="305"/>
      <c r="O5" s="305"/>
      <c r="P5" s="305"/>
      <c r="Q5" s="305"/>
      <c r="R5" s="305"/>
      <c r="S5" s="305"/>
      <c r="T5" s="305"/>
      <c r="AB5" s="16" t="s">
        <v>145</v>
      </c>
      <c r="AC5" s="148" t="s">
        <v>169</v>
      </c>
      <c r="AD5" s="149" t="s">
        <v>171</v>
      </c>
      <c r="AE5" s="150" t="s">
        <v>164</v>
      </c>
      <c r="AF5" s="156" t="s">
        <v>173</v>
      </c>
      <c r="AG5" s="151" t="s">
        <v>176</v>
      </c>
      <c r="AH5" s="151" t="s">
        <v>176</v>
      </c>
      <c r="AI5" s="152" t="s">
        <v>176</v>
      </c>
    </row>
    <row r="6" spans="1:154" s="110" customFormat="1" ht="27.75" customHeight="1" x14ac:dyDescent="0.2">
      <c r="B6" s="304" t="s">
        <v>106</v>
      </c>
      <c r="C6" s="304"/>
      <c r="D6" s="304"/>
      <c r="E6" s="304"/>
      <c r="F6" s="304"/>
      <c r="G6" s="304"/>
      <c r="H6" s="304"/>
      <c r="I6" s="304"/>
      <c r="L6" s="304" t="s">
        <v>107</v>
      </c>
      <c r="M6" s="304"/>
      <c r="N6" s="304"/>
      <c r="O6" s="304"/>
      <c r="P6" s="304"/>
      <c r="Q6" s="304"/>
      <c r="R6" s="304"/>
      <c r="S6" s="304"/>
      <c r="T6" s="304"/>
      <c r="AB6" s="16" t="s">
        <v>146</v>
      </c>
      <c r="AC6" s="148" t="s">
        <v>169</v>
      </c>
      <c r="AD6" s="149" t="s">
        <v>171</v>
      </c>
      <c r="AE6" s="150" t="s">
        <v>164</v>
      </c>
      <c r="AF6" s="151" t="s">
        <v>176</v>
      </c>
      <c r="AG6" s="151" t="s">
        <v>176</v>
      </c>
      <c r="AH6" s="151" t="s">
        <v>176</v>
      </c>
      <c r="AI6" s="152" t="s">
        <v>176</v>
      </c>
    </row>
    <row r="7" spans="1:154" ht="18" customHeight="1" x14ac:dyDescent="0.2">
      <c r="B7" s="305" t="s">
        <v>101</v>
      </c>
      <c r="C7" s="305"/>
      <c r="D7" s="305"/>
      <c r="E7" s="305"/>
      <c r="F7" s="305"/>
      <c r="G7" s="305"/>
      <c r="H7" s="305"/>
      <c r="I7" s="305"/>
      <c r="L7" s="305" t="s">
        <v>103</v>
      </c>
      <c r="M7" s="305"/>
      <c r="N7" s="305"/>
      <c r="O7" s="305"/>
      <c r="P7" s="305"/>
      <c r="Q7" s="305"/>
      <c r="R7" s="305"/>
      <c r="S7" s="305"/>
      <c r="T7" s="305"/>
      <c r="AB7" s="16" t="s">
        <v>147</v>
      </c>
      <c r="AC7" s="148" t="s">
        <v>169</v>
      </c>
      <c r="AD7" s="149" t="s">
        <v>171</v>
      </c>
      <c r="AE7" s="150" t="s">
        <v>164</v>
      </c>
      <c r="AF7" s="156" t="s">
        <v>173</v>
      </c>
      <c r="AG7" s="156" t="s">
        <v>174</v>
      </c>
      <c r="AH7" s="157" t="s">
        <v>175</v>
      </c>
      <c r="AI7" s="158" t="s">
        <v>32</v>
      </c>
    </row>
    <row r="8" spans="1:154" ht="8.25" customHeight="1" x14ac:dyDescent="0.2">
      <c r="AB8" s="16" t="s">
        <v>148</v>
      </c>
      <c r="AC8" s="148" t="s">
        <v>169</v>
      </c>
      <c r="AD8" s="149" t="s">
        <v>171</v>
      </c>
      <c r="AE8" s="150" t="s">
        <v>164</v>
      </c>
      <c r="AF8" s="156" t="s">
        <v>173</v>
      </c>
      <c r="AG8" s="156" t="s">
        <v>174</v>
      </c>
      <c r="AH8" s="157" t="s">
        <v>175</v>
      </c>
      <c r="AI8" s="153" t="s">
        <v>32</v>
      </c>
    </row>
    <row r="9" spans="1:154" ht="72" customHeight="1" x14ac:dyDescent="0.2">
      <c r="B9" s="111" t="s">
        <v>104</v>
      </c>
      <c r="C9" s="112" t="str">
        <f>IFERROR(VLOOKUP($B$10,$AB$2:$AI$18,2,FALSE),AC2)</f>
        <v>Red unit charge
p/kWh</v>
      </c>
      <c r="D9" s="112" t="str">
        <f>IFERROR(VLOOKUP($B$10,$AB$2:$AI$18,3,FALSE),AD2)</f>
        <v>Amber unit charge
p/kWh</v>
      </c>
      <c r="E9" s="112" t="str">
        <f>IFERROR(VLOOKUP($B$10,$AB$2:$AI$18,4,FALSE),AE2)</f>
        <v>Green unit charge
p/kWh</v>
      </c>
      <c r="F9" s="112" t="str">
        <f>IFERROR(VLOOKUP($B$10,$AB$2:$AI$18,5,FALSE),AF2)</f>
        <v>Fixed charge 
p/MPAN/day</v>
      </c>
      <c r="G9" s="112" t="str">
        <f>IFERROR(VLOOKUP($B$10,$AB$2:$AI$18,6,FALSE),AG2)</f>
        <v>Capacity charge 
p/kVA/day</v>
      </c>
      <c r="H9" s="112" t="str">
        <f>IFERROR(VLOOKUP($B$10,$AB$2:$AI$18,7,FALSE),AH2)</f>
        <v>Exceeded Capacity charge 
p/kVA/day</v>
      </c>
      <c r="I9" s="112" t="str">
        <f>IFERROR(VLOOKUP($B$10,$AB$2:$AI$18,8,FALSE),AI2)</f>
        <v>Reactive power charge
p/kVArh</v>
      </c>
      <c r="L9" s="111" t="s">
        <v>105</v>
      </c>
      <c r="M9" s="130" t="str">
        <f>'Annex 2 EHV charges'!H9</f>
        <v>Import
Super Red
unit charge
(p/kWh)</v>
      </c>
      <c r="N9" s="130" t="str">
        <f>'Annex 2 EHV charges'!I9</f>
        <v>Import
fixed charge
(p/day)</v>
      </c>
      <c r="O9" s="130" t="str">
        <f>'Annex 2 EHV charges'!J9</f>
        <v>Import
capacity charge
(p/kVA/day)</v>
      </c>
      <c r="P9" s="130" t="str">
        <f>'Annex 2 EHV charges'!K9</f>
        <v>Import
exceeded capacity charge
(p/kVA/day)</v>
      </c>
      <c r="Q9" s="131" t="str">
        <f>'Annex 2 EHV charges'!L9</f>
        <v>Export
Super Red
unit charge
(p/kWh)</v>
      </c>
      <c r="R9" s="131" t="str">
        <f>'Annex 2 EHV charges'!M9</f>
        <v>Export
fixed charge
(p/day)</v>
      </c>
      <c r="S9" s="131" t="str">
        <f>'Annex 2 EHV charges'!N9</f>
        <v>Export
capacity charge
(p/kVA/day)</v>
      </c>
      <c r="T9" s="131" t="str">
        <f>'Annex 2 EHV charges'!O9</f>
        <v>Export
exceeded capacity charge
(p/kVA/day)</v>
      </c>
      <c r="AB9" s="16" t="s">
        <v>149</v>
      </c>
      <c r="AC9" s="148" t="s">
        <v>169</v>
      </c>
      <c r="AD9" s="149" t="s">
        <v>171</v>
      </c>
      <c r="AE9" s="150" t="s">
        <v>164</v>
      </c>
      <c r="AF9" s="156" t="s">
        <v>173</v>
      </c>
      <c r="AG9" s="156" t="s">
        <v>174</v>
      </c>
      <c r="AH9" s="157" t="s">
        <v>175</v>
      </c>
      <c r="AI9" s="153" t="s">
        <v>32</v>
      </c>
    </row>
    <row r="10" spans="1:154" ht="30" customHeight="1" x14ac:dyDescent="0.2">
      <c r="B10" s="99" t="s">
        <v>147</v>
      </c>
      <c r="C10" s="126">
        <f>IFERROR(VLOOKUP($B$10,'Annex 1 LV, HV and UMS charges'!$A:$K,4,FALSE),"")</f>
        <v>9.09</v>
      </c>
      <c r="D10" s="127">
        <f>IFERROR(VLOOKUP($B$10,'Annex 1 LV, HV and UMS charges'!$A:$K,5,FALSE),"")</f>
        <v>0.88100000000000001</v>
      </c>
      <c r="E10" s="127">
        <f>IFERROR(VLOOKUP($B$10,'Annex 1 LV, HV and UMS charges'!$A:$K,6,FALSE),"")</f>
        <v>0.61</v>
      </c>
      <c r="F10" s="101">
        <f>IFERROR(VLOOKUP($B$10,'Annex 1 LV, HV and UMS charges'!$A:$K,7,FALSE),"")</f>
        <v>11.31</v>
      </c>
      <c r="G10" s="101">
        <f>IFERROR(VLOOKUP($B$10,'Annex 1 LV, HV and UMS charges'!$A:$K,8,FALSE),"")</f>
        <v>3.68</v>
      </c>
      <c r="H10" s="101">
        <f>IFERROR(VLOOKUP($B$10,'Annex 1 LV, HV and UMS charges'!$A:$K,9,FALSE),"")</f>
        <v>7.12</v>
      </c>
      <c r="I10" s="101">
        <f>IFERROR(VLOOKUP($B$10,'Annex 1 LV, HV and UMS charges'!$A:$K,10,FALSE),"")</f>
        <v>0.27600000000000002</v>
      </c>
      <c r="L10" s="99"/>
      <c r="M10" s="101" t="str">
        <f>IFERROR(VLOOKUP($L$10,'Annex 2 EHV charges'!$G:$O,2,FALSE),"")</f>
        <v/>
      </c>
      <c r="N10" s="101" t="str">
        <f>IFERROR(VLOOKUP($L$10,'Annex 2 EHV charges'!$G:$O,3,FALSE),"")</f>
        <v/>
      </c>
      <c r="O10" s="101" t="str">
        <f>IFERROR(VLOOKUP($L$10,'Annex 2 EHV charges'!$G:$O,4,FALSE),"")</f>
        <v/>
      </c>
      <c r="P10" s="101" t="str">
        <f>IFERROR(VLOOKUP($L$10,'Annex 2 EHV charges'!$G:$O,5,FALSE),"")</f>
        <v/>
      </c>
      <c r="Q10" s="114" t="str">
        <f>IFERROR(VLOOKUP($L$10,'Annex 2 EHV charges'!$G:$O,6,FALSE),"")</f>
        <v/>
      </c>
      <c r="R10" s="114" t="str">
        <f>IFERROR(VLOOKUP($L$10,'Annex 2 EHV charges'!$G:$O,7,FALSE),"")</f>
        <v/>
      </c>
      <c r="S10" s="114" t="str">
        <f>IFERROR(VLOOKUP($L$10,'Annex 2 EHV charges'!$G:$O,8,FALSE),"")</f>
        <v/>
      </c>
      <c r="T10" s="114" t="str">
        <f>IFERROR(VLOOKUP($L$10,'Annex 2 EHV charges'!$G:$O,9,FALSE),"")</f>
        <v/>
      </c>
      <c r="AB10" s="16" t="s">
        <v>150</v>
      </c>
      <c r="AC10" s="154" t="s">
        <v>170</v>
      </c>
      <c r="AD10" s="155" t="s">
        <v>172</v>
      </c>
      <c r="AE10" s="150" t="s">
        <v>164</v>
      </c>
      <c r="AF10" s="151" t="s">
        <v>176</v>
      </c>
      <c r="AG10" s="151" t="s">
        <v>176</v>
      </c>
      <c r="AH10" s="151" t="s">
        <v>176</v>
      </c>
      <c r="AI10" s="151" t="s">
        <v>176</v>
      </c>
    </row>
    <row r="11" spans="1:154" ht="7.5" customHeight="1" x14ac:dyDescent="0.2">
      <c r="AB11" s="16" t="s">
        <v>151</v>
      </c>
      <c r="AC11" s="148" t="s">
        <v>169</v>
      </c>
      <c r="AD11" s="149" t="s">
        <v>171</v>
      </c>
      <c r="AE11" s="150" t="s">
        <v>164</v>
      </c>
      <c r="AF11" s="156" t="s">
        <v>173</v>
      </c>
      <c r="AG11" s="151" t="s">
        <v>176</v>
      </c>
      <c r="AH11" s="151" t="s">
        <v>176</v>
      </c>
      <c r="AI11" s="151" t="s">
        <v>176</v>
      </c>
    </row>
    <row r="12" spans="1:154" ht="88.5" customHeight="1" x14ac:dyDescent="0.2">
      <c r="B12" s="115" t="s">
        <v>70</v>
      </c>
      <c r="C12" s="112" t="str">
        <f>C9</f>
        <v>Red unit charge
p/kWh</v>
      </c>
      <c r="D12" s="112" t="str">
        <f>D9</f>
        <v>Amber unit charge
p/kWh</v>
      </c>
      <c r="E12" s="112" t="str">
        <f>E9</f>
        <v>Green unit charge
p/kWh</v>
      </c>
      <c r="F12" s="112" t="s">
        <v>71</v>
      </c>
      <c r="G12" s="112" t="s">
        <v>68</v>
      </c>
      <c r="H12" s="112" t="s">
        <v>133</v>
      </c>
      <c r="I12" s="112" t="s">
        <v>69</v>
      </c>
      <c r="L12" s="115" t="s">
        <v>70</v>
      </c>
      <c r="M12" s="112" t="s">
        <v>90</v>
      </c>
      <c r="N12" s="112" t="s">
        <v>71</v>
      </c>
      <c r="O12" s="112" t="s">
        <v>86</v>
      </c>
      <c r="P12" s="112" t="s">
        <v>133</v>
      </c>
      <c r="Q12" s="113" t="s">
        <v>88</v>
      </c>
      <c r="R12" s="113" t="s">
        <v>71</v>
      </c>
      <c r="S12" s="113" t="s">
        <v>87</v>
      </c>
      <c r="T12" s="113" t="s">
        <v>133</v>
      </c>
      <c r="AB12" s="16" t="s">
        <v>152</v>
      </c>
      <c r="AC12" s="148" t="s">
        <v>169</v>
      </c>
      <c r="AD12" s="149" t="s">
        <v>171</v>
      </c>
      <c r="AE12" s="150" t="s">
        <v>164</v>
      </c>
      <c r="AF12" s="156" t="s">
        <v>173</v>
      </c>
      <c r="AG12" s="151" t="s">
        <v>176</v>
      </c>
      <c r="AH12" s="151" t="s">
        <v>176</v>
      </c>
      <c r="AI12" s="151" t="s">
        <v>176</v>
      </c>
    </row>
    <row r="13" spans="1:154" ht="30" customHeight="1" x14ac:dyDescent="0.2">
      <c r="B13" s="116" t="s">
        <v>72</v>
      </c>
      <c r="C13" s="121"/>
      <c r="D13" s="121"/>
      <c r="E13" s="121"/>
      <c r="F13" s="121"/>
      <c r="G13" s="121"/>
      <c r="H13" s="121"/>
      <c r="I13" s="121"/>
      <c r="L13" s="116" t="s">
        <v>72</v>
      </c>
      <c r="M13" s="102"/>
      <c r="N13" s="102"/>
      <c r="O13" s="102"/>
      <c r="P13" s="102"/>
      <c r="Q13" s="103"/>
      <c r="R13" s="103">
        <f>N13</f>
        <v>0</v>
      </c>
      <c r="S13" s="103"/>
      <c r="T13" s="103"/>
      <c r="AB13" s="16" t="s">
        <v>153</v>
      </c>
      <c r="AC13" s="148" t="s">
        <v>169</v>
      </c>
      <c r="AD13" s="149" t="s">
        <v>171</v>
      </c>
      <c r="AE13" s="150" t="s">
        <v>164</v>
      </c>
      <c r="AF13" s="156" t="s">
        <v>173</v>
      </c>
      <c r="AG13" s="151" t="s">
        <v>176</v>
      </c>
      <c r="AH13" s="151" t="s">
        <v>176</v>
      </c>
      <c r="AI13" s="153" t="s">
        <v>32</v>
      </c>
    </row>
    <row r="14" spans="1:154" ht="30" customHeight="1" x14ac:dyDescent="0.2">
      <c r="B14" s="117" t="s">
        <v>74</v>
      </c>
      <c r="C14" s="100">
        <f t="shared" ref="C14:I14" si="0">C13</f>
        <v>0</v>
      </c>
      <c r="D14" s="100">
        <f t="shared" si="0"/>
        <v>0</v>
      </c>
      <c r="E14" s="100">
        <f t="shared" si="0"/>
        <v>0</v>
      </c>
      <c r="F14" s="100">
        <f t="shared" si="0"/>
        <v>0</v>
      </c>
      <c r="G14" s="100">
        <f t="shared" si="0"/>
        <v>0</v>
      </c>
      <c r="H14" s="100">
        <f t="shared" si="0"/>
        <v>0</v>
      </c>
      <c r="I14" s="100">
        <f t="shared" si="0"/>
        <v>0</v>
      </c>
      <c r="L14" s="117" t="s">
        <v>74</v>
      </c>
      <c r="M14" s="100">
        <f>M13</f>
        <v>0</v>
      </c>
      <c r="N14" s="100">
        <f t="shared" ref="N14:T14" si="1">N13</f>
        <v>0</v>
      </c>
      <c r="O14" s="100">
        <f t="shared" si="1"/>
        <v>0</v>
      </c>
      <c r="P14" s="100">
        <f t="shared" si="1"/>
        <v>0</v>
      </c>
      <c r="Q14" s="104">
        <f t="shared" si="1"/>
        <v>0</v>
      </c>
      <c r="R14" s="104">
        <f t="shared" si="1"/>
        <v>0</v>
      </c>
      <c r="S14" s="104">
        <f t="shared" si="1"/>
        <v>0</v>
      </c>
      <c r="T14" s="104">
        <f t="shared" si="1"/>
        <v>0</v>
      </c>
      <c r="AB14" s="16" t="s">
        <v>154</v>
      </c>
      <c r="AC14" s="148" t="s">
        <v>169</v>
      </c>
      <c r="AD14" s="149" t="s">
        <v>171</v>
      </c>
      <c r="AE14" s="150" t="s">
        <v>164</v>
      </c>
      <c r="AF14" s="156" t="s">
        <v>173</v>
      </c>
      <c r="AG14" s="151" t="s">
        <v>176</v>
      </c>
      <c r="AH14" s="151" t="s">
        <v>176</v>
      </c>
      <c r="AI14" s="151" t="s">
        <v>176</v>
      </c>
    </row>
    <row r="15" spans="1:154" ht="7.5" customHeight="1" x14ac:dyDescent="0.2">
      <c r="AB15" s="16" t="s">
        <v>155</v>
      </c>
      <c r="AC15" s="148" t="s">
        <v>169</v>
      </c>
      <c r="AD15" s="149" t="s">
        <v>171</v>
      </c>
      <c r="AE15" s="150" t="s">
        <v>164</v>
      </c>
      <c r="AF15" s="156" t="s">
        <v>173</v>
      </c>
      <c r="AG15" s="151" t="s">
        <v>176</v>
      </c>
      <c r="AH15" s="151" t="s">
        <v>176</v>
      </c>
      <c r="AI15" s="153" t="s">
        <v>32</v>
      </c>
    </row>
    <row r="16" spans="1:154" ht="63.75" customHeight="1" x14ac:dyDescent="0.2">
      <c r="B16" s="115" t="s">
        <v>73</v>
      </c>
      <c r="C16" s="112" t="s">
        <v>83</v>
      </c>
      <c r="D16" s="112" t="s">
        <v>84</v>
      </c>
      <c r="E16" s="112" t="s">
        <v>85</v>
      </c>
      <c r="F16" s="112" t="s">
        <v>79</v>
      </c>
      <c r="G16" s="112" t="s">
        <v>78</v>
      </c>
      <c r="H16" s="112" t="s">
        <v>134</v>
      </c>
      <c r="I16" s="112" t="s">
        <v>77</v>
      </c>
      <c r="L16" s="115" t="s">
        <v>73</v>
      </c>
      <c r="M16" s="112" t="s">
        <v>91</v>
      </c>
      <c r="N16" s="112" t="s">
        <v>89</v>
      </c>
      <c r="O16" s="112" t="s">
        <v>94</v>
      </c>
      <c r="P16" s="112" t="s">
        <v>135</v>
      </c>
      <c r="Q16" s="113" t="s">
        <v>92</v>
      </c>
      <c r="R16" s="113" t="s">
        <v>93</v>
      </c>
      <c r="S16" s="113" t="s">
        <v>95</v>
      </c>
      <c r="T16" s="113" t="s">
        <v>136</v>
      </c>
      <c r="AB16" s="16" t="s">
        <v>156</v>
      </c>
      <c r="AC16" s="148" t="s">
        <v>169</v>
      </c>
      <c r="AD16" s="149" t="s">
        <v>171</v>
      </c>
      <c r="AE16" s="150" t="s">
        <v>164</v>
      </c>
      <c r="AF16" s="156" t="s">
        <v>173</v>
      </c>
      <c r="AG16" s="151" t="s">
        <v>176</v>
      </c>
      <c r="AH16" s="151" t="s">
        <v>176</v>
      </c>
      <c r="AI16" s="151" t="s">
        <v>176</v>
      </c>
    </row>
    <row r="17" spans="2:35" ht="30" customHeight="1" x14ac:dyDescent="0.2">
      <c r="B17" s="116" t="s">
        <v>75</v>
      </c>
      <c r="C17" s="122">
        <f>IFERROR(C10*C13/100,"")</f>
        <v>0</v>
      </c>
      <c r="D17" s="122">
        <f t="shared" ref="D17:I17" si="2">IFERROR(D10*D13/100,"")</f>
        <v>0</v>
      </c>
      <c r="E17" s="122">
        <f t="shared" si="2"/>
        <v>0</v>
      </c>
      <c r="F17" s="122">
        <f t="shared" si="2"/>
        <v>0</v>
      </c>
      <c r="G17" s="122">
        <f>IFERROR(G10*G13*F13/100,"")</f>
        <v>0</v>
      </c>
      <c r="H17" s="122">
        <f>IFERROR(H10*H13*F13/100,"")</f>
        <v>0</v>
      </c>
      <c r="I17" s="122">
        <f t="shared" si="2"/>
        <v>0</v>
      </c>
      <c r="L17" s="118" t="s">
        <v>75</v>
      </c>
      <c r="M17" s="122" t="str">
        <f>IFERROR(M10*M13/100,"")</f>
        <v/>
      </c>
      <c r="N17" s="122" t="str">
        <f>IFERROR(N10*N13/100,"")</f>
        <v/>
      </c>
      <c r="O17" s="122" t="str">
        <f>IFERROR(O10*O13*N13/100,"")</f>
        <v/>
      </c>
      <c r="P17" s="122" t="str">
        <f>IFERROR(P10*P13*N13/100,"")</f>
        <v/>
      </c>
      <c r="Q17" s="123" t="str">
        <f>IFERROR(Q10*Q13/100,"")</f>
        <v/>
      </c>
      <c r="R17" s="123" t="str">
        <f>IFERROR(R10*R13/100,"")</f>
        <v/>
      </c>
      <c r="S17" s="123" t="str">
        <f>IFERROR(S10*S13*R13/100,"")</f>
        <v/>
      </c>
      <c r="T17" s="123" t="str">
        <f>IFERROR(T10*T13*R13/100,"")</f>
        <v/>
      </c>
      <c r="AB17" s="16" t="s">
        <v>157</v>
      </c>
      <c r="AC17" s="148" t="s">
        <v>169</v>
      </c>
      <c r="AD17" s="149" t="s">
        <v>171</v>
      </c>
      <c r="AE17" s="150" t="s">
        <v>164</v>
      </c>
      <c r="AF17" s="156" t="s">
        <v>173</v>
      </c>
      <c r="AG17" s="151" t="s">
        <v>176</v>
      </c>
      <c r="AH17" s="151" t="s">
        <v>176</v>
      </c>
      <c r="AI17" s="153" t="s">
        <v>32</v>
      </c>
    </row>
    <row r="18" spans="2:35" ht="30" customHeight="1" x14ac:dyDescent="0.2">
      <c r="B18" s="117" t="s">
        <v>76</v>
      </c>
      <c r="C18" s="124">
        <f>IFERROR(C10*C14/100,"")</f>
        <v>0</v>
      </c>
      <c r="D18" s="124">
        <f t="shared" ref="D18:I18" si="3">IFERROR(D10*D14/100,"")</f>
        <v>0</v>
      </c>
      <c r="E18" s="124">
        <f t="shared" si="3"/>
        <v>0</v>
      </c>
      <c r="F18" s="124">
        <f t="shared" si="3"/>
        <v>0</v>
      </c>
      <c r="G18" s="124">
        <f>IFERROR(G10*G14*F14/100,"")</f>
        <v>0</v>
      </c>
      <c r="H18" s="124">
        <f>IFERROR(H10*H14*F14/100,"")</f>
        <v>0</v>
      </c>
      <c r="I18" s="124">
        <f t="shared" si="3"/>
        <v>0</v>
      </c>
      <c r="L18" s="119" t="s">
        <v>76</v>
      </c>
      <c r="M18" s="124" t="str">
        <f>IFERROR(M10*M14/100,"")</f>
        <v/>
      </c>
      <c r="N18" s="124" t="str">
        <f>IFERROR(N10*N14/100,"")</f>
        <v/>
      </c>
      <c r="O18" s="124" t="str">
        <f>IFERROR(O10*O14*N14/100,"")</f>
        <v/>
      </c>
      <c r="P18" s="124" t="str">
        <f>IFERROR(P10*P14*N14/100,"")</f>
        <v/>
      </c>
      <c r="Q18" s="125" t="str">
        <f>IFERROR(Q10*Q14/100,"")</f>
        <v/>
      </c>
      <c r="R18" s="125" t="str">
        <f>IFERROR(R10*R14/100,"")</f>
        <v/>
      </c>
      <c r="S18" s="125" t="str">
        <f>IFERROR(S10*S14*R14/100,"")</f>
        <v/>
      </c>
      <c r="T18" s="125" t="str">
        <f>IFERROR(T10*T14*R14/100,"")</f>
        <v/>
      </c>
      <c r="AB18" s="16" t="s">
        <v>158</v>
      </c>
      <c r="AC18" s="148" t="s">
        <v>169</v>
      </c>
      <c r="AD18" s="149" t="s">
        <v>171</v>
      </c>
      <c r="AE18" s="150" t="s">
        <v>164</v>
      </c>
      <c r="AF18" s="156" t="s">
        <v>173</v>
      </c>
      <c r="AG18" s="151" t="s">
        <v>176</v>
      </c>
      <c r="AH18" s="151" t="s">
        <v>176</v>
      </c>
      <c r="AI18" s="151" t="s">
        <v>176</v>
      </c>
    </row>
    <row r="19" spans="2:35" ht="7.5" customHeight="1" x14ac:dyDescent="0.2"/>
    <row r="20" spans="2:35" ht="39.75" customHeight="1" x14ac:dyDescent="0.2">
      <c r="C20" s="120" t="s">
        <v>80</v>
      </c>
      <c r="M20" s="112" t="s">
        <v>96</v>
      </c>
      <c r="N20" s="113" t="s">
        <v>97</v>
      </c>
    </row>
    <row r="21" spans="2:35" ht="30" customHeight="1" x14ac:dyDescent="0.2">
      <c r="B21" s="116" t="s">
        <v>75</v>
      </c>
      <c r="C21" s="122">
        <f>SUM(C17:I17)</f>
        <v>0</v>
      </c>
      <c r="L21" s="116" t="s">
        <v>75</v>
      </c>
      <c r="M21" s="122">
        <f>SUM(M17:P17)</f>
        <v>0</v>
      </c>
      <c r="N21" s="123">
        <f>SUM(Q17:T17)</f>
        <v>0</v>
      </c>
    </row>
    <row r="22" spans="2:35" ht="30" customHeight="1" x14ac:dyDescent="0.2">
      <c r="B22" s="117" t="s">
        <v>76</v>
      </c>
      <c r="C22" s="124">
        <f>SUM(C18:I18)</f>
        <v>0</v>
      </c>
      <c r="L22" s="117" t="s">
        <v>76</v>
      </c>
      <c r="M22" s="124">
        <f>SUM(M18:P18)</f>
        <v>0</v>
      </c>
      <c r="N22" s="125">
        <f>SUM(Q18:T18)</f>
        <v>0</v>
      </c>
    </row>
    <row r="24" spans="2:35" ht="30.75" customHeight="1" x14ac:dyDescent="0.2">
      <c r="B24" s="298" t="s">
        <v>98</v>
      </c>
      <c r="C24" s="299"/>
      <c r="D24" s="300"/>
      <c r="L24" s="298" t="s">
        <v>99</v>
      </c>
      <c r="M24" s="299"/>
      <c r="N24" s="300"/>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31"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HV and UMS charges'!$A$12:$A$30</xm:f>
          </x14:formula1>
          <xm:sqref>B10</xm:sqref>
        </x14:dataValidation>
        <x14:dataValidation type="list" errorStyle="information" allowBlank="1" showInputMessage="1" showErrorMessage="1" promptTitle="Choose site" prompt="Select the EHV site that you would like to calculate charges.">
          <x14:formula1>
            <xm:f>'Annex 2 EHV charges'!$G$10:$G$259</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18</vt:i4>
      </vt:variant>
    </vt:vector>
  </HeadingPairs>
  <TitlesOfParts>
    <vt:vector size="31"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James, Mark</cp:lastModifiedBy>
  <cp:lastPrinted>2021-04-06T14:19:25Z</cp:lastPrinted>
  <dcterms:created xsi:type="dcterms:W3CDTF">2009-11-12T11:38:00Z</dcterms:created>
  <dcterms:modified xsi:type="dcterms:W3CDTF">2021-10-18T14:04:04Z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